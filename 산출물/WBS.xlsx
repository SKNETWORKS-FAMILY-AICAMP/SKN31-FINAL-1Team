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갠트차트" sheetId="1" r:id="rId4"/>
  </sheets>
  <definedNames/>
  <calcPr/>
  <extLst>
    <ext uri="GoogleSheetsCustomDataVersion2">
      <go:sheetsCustomData xmlns:go="http://customooxmlschemas.google.com/" r:id="rId5" roundtripDataChecksum="rb9TdBqMu73y30vZ2cKQY+MIoqCAtLRheL0YV6o7Dts="/>
    </ext>
  </extLst>
</workbook>
</file>

<file path=xl/sharedStrings.xml><?xml version="1.0" encoding="utf-8"?>
<sst xmlns="http://schemas.openxmlformats.org/spreadsheetml/2006/main" count="388" uniqueCount="276">
  <si>
    <t>WBS</t>
  </si>
  <si>
    <t>헤이 짜비(Hey Zzabi) · 개발팀 업무 자동화 시스템   |   SK 네트웍스 Family AI 캠프 31기 1팀</t>
  </si>
  <si>
    <t>프로젝트 이름</t>
  </si>
  <si>
    <t>헤이 짜비(Hey Zzabi) — 개발팀 업무 자동화 시스템</t>
  </si>
  <si>
    <t>기간</t>
  </si>
  <si>
    <t>2026. 8. 10 (월) ~ 2026. 10. 6 (화)  ·  총 58일</t>
  </si>
  <si>
    <t>프로젝트 관리자</t>
  </si>
  <si>
    <t>PM</t>
  </si>
  <si>
    <t>투입 인원</t>
  </si>
  <si>
    <t>김재원 / 박하린 /박연아 / 김가율 / 이재일</t>
  </si>
  <si>
    <t>배포 환경</t>
  </si>
  <si>
    <t>AWS 클라우드</t>
  </si>
  <si>
    <t>구성</t>
  </si>
  <si>
    <t>웹 서버(EC2+ALB) · DB 서버(RDS MySQL)</t>
  </si>
  <si>
    <t>번호</t>
  </si>
  <si>
    <t>작업 제목</t>
  </si>
  <si>
    <t>세부 작업 내용</t>
  </si>
  <si>
    <t>작업 소유자</t>
  </si>
  <si>
    <t>시작일</t>
  </si>
  <si>
    <t>마감일</t>
  </si>
  <si>
    <t>기간(일)</t>
  </si>
  <si>
    <t>작업 완료 비율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</si>
  <si>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</si>
  <si>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</si>
  <si>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</si>
  <si>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</si>
  <si>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</si>
  <si>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</si>
  <si>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</si>
  <si>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</si>
  <si>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</si>
  <si>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월</t>
  </si>
  <si>
    <t>화</t>
  </si>
  <si>
    <t>수</t>
  </si>
  <si>
    <t>목</t>
  </si>
  <si>
    <t>금</t>
  </si>
  <si>
    <t>토</t>
  </si>
  <si>
    <t>일</t>
  </si>
  <si>
    <t>1.0</t>
  </si>
  <si>
    <t>기획 및 설계</t>
  </si>
  <si>
    <t>1.1</t>
  </si>
  <si>
    <t>주제 선정 및 배경 조사</t>
  </si>
  <si>
    <t>팀원별 주제 제안·논의, 개발팀 관리 업무 자동화로 확정, 문제 정의 근거 조사</t>
  </si>
  <si>
    <t>전체</t>
  </si>
  <si>
    <t>1.2</t>
  </si>
  <si>
    <t>1·2차 킥오프</t>
  </si>
  <si>
    <t>1차 온라인 킥오프(8/13), 2차 오프라인 킥오프(8/19) — R&amp;R·기술스택·협업규칙 확정</t>
  </si>
  <si>
    <t>1.3</t>
  </si>
  <si>
    <t>요구사항 정의서 작성</t>
  </si>
  <si>
    <t>FR 10개 영역(FR-01~FR-10)·NFR 7개 영역 정의, 기능 ID 부여, 수용/미수용/검토중 판정</t>
  </si>
  <si>
    <t>1.4</t>
  </si>
  <si>
    <t>프로젝트 기획서 작성</t>
  </si>
  <si>
    <t>문제 정의, 시장조사·BM 분석, 시스템 구성, 모델링 계획, 데이터 수집 전략, R&amp;R</t>
  </si>
  <si>
    <t>1.5</t>
  </si>
  <si>
    <t>WBS 작성 및 R&amp;R 확정</t>
  </si>
  <si>
    <t>작업 분해 구조 정의, 담당자·기간 배정, 진행률 관리 기준 및 주간 점검 체계 수립</t>
  </si>
  <si>
    <t>1.6</t>
  </si>
  <si>
    <t>서비스 아키텍처 설계</t>
  </si>
  <si>
    <t>멀티 에이전트 구조, 4계층 구성, 기술 스택 선정(LLM API·VectorDB·GraphDB·LangGraph)</t>
  </si>
  <si>
    <t>1.7</t>
  </si>
  <si>
    <t>AWS 인프라 아키텍처 설계</t>
  </si>
  <si>
    <t>VPC/서브넷/보안그룹 설계, 웹서버·DB서버·파일서버 3-tier 구성도, 가용성·비용 산정 [NFR-03-001]</t>
  </si>
  <si>
    <t>재일</t>
  </si>
  <si>
    <t>1.8</t>
  </si>
  <si>
    <t>DB 논리·물리 모델링(ERD)</t>
  </si>
  <si>
    <t xml:space="preserve">직원·프로젝트·회의록·기획서·업무·결재·알림 엔티티 정의 </t>
  </si>
  <si>
    <t>1.9</t>
  </si>
  <si>
    <t>API 명세 설계</t>
  </si>
  <si>
    <t xml:space="preserve">REST API 요청/응답 규격, 상태코드·에러 포맷, 파이프라인 5단계 상태 전이 정의 </t>
  </si>
  <si>
    <t>가율</t>
  </si>
  <si>
    <t>1.10</t>
  </si>
  <si>
    <t>화면설계서(와이어프레임) 작성</t>
  </si>
  <si>
    <t>홈,문서생성,업무관리, 히스토리, 직원관리, 설정(연동) 6개 화면 정의서</t>
  </si>
  <si>
    <t>재원</t>
  </si>
  <si>
    <t>1.11</t>
  </si>
  <si>
    <t>Git 구조 및 협업 규칙 정의</t>
  </si>
  <si>
    <t>브랜치 전략, 커밋 컨벤션, PR 리뷰 룰, 폴더 구조, 정기회의 운영 규칙</t>
  </si>
  <si>
    <t>1.12</t>
  </si>
  <si>
    <t>보안·권한 정책 정의</t>
  </si>
  <si>
    <t xml:space="preserve">RBAC 권한 매트릭스(관리자·팀장·직원), 암호화·시크릿 관리, 감사 로그 항목 </t>
  </si>
  <si>
    <t>2.0</t>
  </si>
  <si>
    <t>AWS 인프라 구축</t>
  </si>
  <si>
    <t>2.1</t>
  </si>
  <si>
    <t>AWS 계정·IAM·비용 관리</t>
  </si>
  <si>
    <t>계정 구성, IAM 사용자·역할·정책 최소권한 설정, MFA, 예산 알림·비용 태깅</t>
  </si>
  <si>
    <t xml:space="preserve">  재일</t>
  </si>
  <si>
    <t>2.2</t>
  </si>
  <si>
    <t>네트워크(VPC) 구성</t>
  </si>
  <si>
    <t>VPC·퍼블릭/프라이빗 서브넷, 라우팅 테이블, NAT/IGW, 보안그룹·NACL 규칙 적용</t>
  </si>
  <si>
    <t>2.3</t>
  </si>
  <si>
    <t>웹 서버 구축 (EC2)</t>
  </si>
  <si>
    <t xml:space="preserve">EC2 인스턴스 프로비저닝, Nginx 리버스 프록시, ALB·타깃그룹, Auto Scaling 정책 </t>
  </si>
  <si>
    <t>2.4</t>
  </si>
  <si>
    <t>DB 서버 구축 (RDS MySQL)</t>
  </si>
  <si>
    <t>RDS 인스턴스 생성, 파라미터·커넥션풀 튜닝, 자동 백업·스냅샷, Multi-AZ 구성</t>
  </si>
  <si>
    <t>2.5</t>
  </si>
  <si>
    <t>도메인·HTTPS·DNS 설정</t>
  </si>
  <si>
    <t>Route 53 도메인 연결, ACM 인증서 발급, ALB HTTPS 리스너, HTTP→HTTPS 리다이렉트</t>
  </si>
  <si>
    <t>2.6</t>
  </si>
  <si>
    <t>시크릿·환경변수 관리</t>
  </si>
  <si>
    <t>Secrets Manager/Parameter Store 구성, API Key·DB 접속정보·토큰 분리 관리</t>
  </si>
  <si>
    <t>2.7</t>
  </si>
  <si>
    <t>CI/CD 파이프라인 구성</t>
  </si>
  <si>
    <t>GitHub Actions 빌드·테스트·이미지 푸시(ECR), EC2 무중단 배포 스크립트, 롤백 절차</t>
  </si>
  <si>
    <t>2.8</t>
  </si>
  <si>
    <t>모니터링·로깅 구성</t>
  </si>
  <si>
    <t xml:space="preserve">CloudWatch 지표·로그 그룹, 알람(임계치), 감사 로그 적재, 배포 웹훅 알림 </t>
  </si>
  <si>
    <t>2.9</t>
  </si>
  <si>
    <t>백업·복구 절차 수립 및 리허설</t>
  </si>
  <si>
    <t>DB·스토리지 백업 주기 정의, 복구 시나리오 리허설, 장애 격리 점검</t>
  </si>
  <si>
    <t>3.0</t>
  </si>
  <si>
    <t>데이터 구축</t>
  </si>
  <si>
    <t>3.1</t>
  </si>
  <si>
    <t>데이터 수집</t>
  </si>
  <si>
    <t>회의 데이터셋, 오픈소스 Issue·PR(GitHub API), 팀 회의록 도그푸딩 축적 [FR-06-002]</t>
  </si>
  <si>
    <t>DB 스키마 구현·마이그레이션</t>
  </si>
  <si>
    <t>ERD 기반 테이블 생성, 마이그레이션 도구 적용, 초기 시드 데이터 적재</t>
  </si>
  <si>
    <t>4.0</t>
  </si>
  <si>
    <t>AI &amp; Agent 개발</t>
  </si>
  <si>
    <t>4.1</t>
  </si>
  <si>
    <t>회의 구조화 Agent</t>
  </si>
  <si>
    <t xml:space="preserve">안건·결정사항·이슈·액션아이템 추출, structured output 스키마 강제, 근거 offset 반환 </t>
  </si>
  <si>
    <t>연아</t>
  </si>
  <si>
    <t>4.2</t>
  </si>
  <si>
    <t>기획서 초안 생성 Agent</t>
  </si>
  <si>
    <t>구조화 결과→기획서 템플릿 매핑, few-shot 프롬프트, 섹션 단위 재생성</t>
  </si>
  <si>
    <t>4.3</t>
  </si>
  <si>
    <t>요구사항정의서 초안 생성 Agent</t>
  </si>
  <si>
    <t>기획서 기반 요구사항 항목·ID 자동 생성, 우선순위 제안 [FR-03-006, FR-05-010]</t>
  </si>
  <si>
    <t>하린</t>
  </si>
  <si>
    <t>4.4</t>
  </si>
  <si>
    <t>업무 생성 Agent</t>
  </si>
  <si>
    <t>요구사항정의서 기반 epic,task,subtask 분류한 업무 생성</t>
  </si>
  <si>
    <t>4.5</t>
  </si>
  <si>
    <t>담당자 매핑 Agent</t>
  </si>
  <si>
    <t>사원db, 프로젝트 규모 산정 기반 담당자 매핑</t>
  </si>
  <si>
    <t>4.6</t>
  </si>
  <si>
    <t>업무 배분(담당자 추천) Agent</t>
  </si>
  <si>
    <t>후보 풀 대상 업무별 적합도(fitScore) 산정 및 배정/추천</t>
  </si>
  <si>
    <t>6.0</t>
  </si>
  <si>
    <t>백엔드 개발 (Django)</t>
  </si>
  <si>
    <t>6.1</t>
  </si>
  <si>
    <t>프로젝트 구조·공통 모듈 셋업</t>
  </si>
  <si>
    <t>레이어 구조, 설정·DI, 공통 응답/예외 포맷, 헬스체크, Docker 이미지 구성</t>
  </si>
  <si>
    <t>6.2</t>
  </si>
  <si>
    <t>인증·계정 및 RBAC API</t>
  </si>
  <si>
    <t>JWT 인증, 비밀번호 변경·세션 만료, 역할 기반 권한 제어 [FR-10-001~003, NFR-01-001, NFR-01-005]</t>
  </si>
  <si>
    <t>6.3</t>
  </si>
  <si>
    <t>직원관리 API</t>
  </si>
  <si>
    <t>직원 등록·조회·수정, 상태/직급 변경, Excel 일괄 업로드·다운로드, 초기 비밀번호 메일 [FR-02-001~008]</t>
  </si>
  <si>
    <t xml:space="preserve">ㅍ
</t>
  </si>
  <si>
    <t>6.4</t>
  </si>
  <si>
    <t>프로젝트·파이프라인 API</t>
  </si>
  <si>
    <t>프로젝트 CRUD, 5단계 파이프라인 상태 전이, 드래그앤드롭 상태 변경·확인 [FR-05-001~005, FR-05-020~021]</t>
  </si>
  <si>
    <t>6.5</t>
  </si>
  <si>
    <t>회의록·기획서·요구사항 API</t>
  </si>
  <si>
    <t>회의록 CRUD·파일 업로드, 기획서 검토/반려·이력, PPTX 다운로드 [FR-03-001~008, FR-05-006~013]</t>
  </si>
  <si>
    <t>6.6</t>
  </si>
  <si>
    <t>업무 배분·결재 API</t>
  </si>
  <si>
    <t>업무 배분 승인/반려, 승인 대기 큐, 반려 사유 필수, 결재 이력 조회 [FR-05-016~019, FR-09-001~007]</t>
  </si>
  <si>
    <t>6.7</t>
  </si>
  <si>
    <t>일정 관리·지연 감지 배치</t>
  </si>
  <si>
    <t>마감일 기준 지연 자동 감지, 지연 사유 보고, 재배정 처리, 업무 완료 처리 [FR-05-022~026]</t>
  </si>
  <si>
    <t>6.9</t>
  </si>
  <si>
    <t>대시보드·업무보드 API</t>
  </si>
  <si>
    <t>홈 요약·진행상황·업무 분포·팀원별 워크로드, 업무보드 필터·WBS 조회 [FR-01-005~014, FR-07-001~003]</t>
  </si>
  <si>
    <t>6.11</t>
  </si>
  <si>
    <t>알림·예외 처리·로깅</t>
  </si>
  <si>
    <t>알림 생성·읽음 처리, 에러 핸들링, 요청·비용 로깅, 감사 로그 기록 [FR-01-003, NFR-07-001]</t>
  </si>
  <si>
    <t>6.12</t>
  </si>
  <si>
    <t>트랜잭션 무결성·동시성 처리</t>
  </si>
  <si>
    <t>단일 트랜잭션 처리, 중복 수신 방지(commit_hash), 서명 검증(HMAC) [NFR-02-001~003, NFR-01-004]</t>
  </si>
  <si>
    <t>7.0</t>
  </si>
  <si>
    <t>프론트엔드 개발 (Next.js)</t>
  </si>
  <si>
    <t>7.1</t>
  </si>
  <si>
    <t>프로젝트 셋업·공통 UI 시스템</t>
  </si>
  <si>
    <t>라우팅·레이아웃, 디자인 토큰, 공통 컴포넌트, 반응형 대응 [NFR-05-001~003]</t>
  </si>
  <si>
    <t>7.2</t>
  </si>
  <si>
    <t>로그인·마이페이지·권한 화면</t>
  </si>
  <si>
    <t>로그인/로그아웃, 접속자 정보, 프로필·비밀번호 변경, 권한 구조 박스 [FR-01-004, FR-10-001~004]</t>
  </si>
  <si>
    <t>7.3</t>
  </si>
  <si>
    <t>홈(대시보드) 화면</t>
  </si>
  <si>
    <t>요약 카드, 진행상황·업무 분포 그래프, 팀원별 워크로드, 알림, 위젯 설정 [FR-01-001~014]</t>
  </si>
  <si>
    <t>7.4</t>
  </si>
  <si>
    <t>직원관리 화면</t>
  </si>
  <si>
    <t>직원 목록·검색·필터, 신규 등록, 상세 조회·수정, Excel 업로드/다운로드 [FR-02-001~008]</t>
  </si>
  <si>
    <t>7.5</t>
  </si>
  <si>
    <t>회의분석 화면</t>
  </si>
  <si>
    <t>회의록 등록(파일·녹취), 목록/선택, AI 구조화 결과, 기획서 초안 검토·반려 [FR-03-001~009]</t>
  </si>
  <si>
    <t>7.6</t>
  </si>
  <si>
    <t>업무관리·파이프라인 화면</t>
  </si>
  <si>
    <t>5단계 파이프라인 드래그앤드롭, 업무 카드, 담당자 추천 근거, 지연 표시 [FR-05-001~026]</t>
  </si>
  <si>
    <t>7.7</t>
  </si>
  <si>
    <t>업무보드 화면</t>
  </si>
  <si>
    <t>필터링 조회, 진행상태별 목록, 전체 진행상황 WBS·Git 상태 배지 [FR-07-001~003]</t>
  </si>
  <si>
    <t>7.10</t>
  </si>
  <si>
    <t>결재·알림 화면</t>
  </si>
  <si>
    <t>결재 현황 박스, 배분 승인 대기 큐, 승인·반려 버튼, 알림 패널 [FR-09-001~007, FR-01-003]</t>
  </si>
  <si>
    <t>7.12</t>
  </si>
  <si>
    <t>API 연동·전역 상태·예외 UI</t>
  </si>
  <si>
    <t>백엔드 API 연동, 전역 상태 관리, 로딩·빈 상태·오류 안내 처리 [FR-03-009, FR-06-018~019]</t>
  </si>
  <si>
    <t>8.0</t>
  </si>
  <si>
    <t>테스트 및 평가</t>
  </si>
  <si>
    <t>8.1</t>
  </si>
  <si>
    <t>단위 테스트</t>
  </si>
  <si>
    <t>백엔드 API·프론트 컴포넌트 단위 테스트 작성 및 커버리지 확보</t>
  </si>
  <si>
    <t>8.2</t>
  </si>
  <si>
    <t>통합·시나리오(E2E) 테스트</t>
  </si>
  <si>
    <t>회의록 등록→구조화→기획서→업무 배분→결재→완료 전 구간 시나리오 검증</t>
  </si>
  <si>
    <t>8.3</t>
  </si>
  <si>
    <t>모델 품질 평가</t>
  </si>
  <si>
    <t>액션아이템 추출 F1, 기획서 섹션 충족률, 배분 추천 수락률, RAGAS 지표 측정</t>
  </si>
  <si>
    <t>8.4</t>
  </si>
  <si>
    <t>성능·부하 테스트</t>
  </si>
  <si>
    <t>조회/수정 2~3초, 승인·반려 1초, 외부 이벤트 3초 이내 응답 검증, 캐싱·페이징 [NFR-04-001~003]</t>
  </si>
  <si>
    <t>8.5</t>
  </si>
  <si>
    <t>보안 점검</t>
  </si>
  <si>
    <t>권한 우회·데이터 접근 통제 점검, 암호화·서명 검증, 감사 로그 누락 확인 [NFR-01, NFR-07-001]</t>
  </si>
  <si>
    <t>8.6</t>
  </si>
  <si>
    <t>사용자(정성) 테스트</t>
  </si>
  <si>
    <t>대표 질문·시나리오 기반 정성 평가, 5점 척도 사람 평가, UI/UX 직관성 피드백</t>
  </si>
  <si>
    <t>8.7</t>
  </si>
  <si>
    <t>버그 수정 및 회귀 테스트</t>
  </si>
  <si>
    <t>결함 티켓 관리, 우선순위별 수정, 수정 후 회귀 테스트 수행</t>
  </si>
  <si>
    <t>8.8</t>
  </si>
  <si>
    <t>테스트 계획·결과 보고서</t>
  </si>
  <si>
    <t>테스트 계획서 및 결과 보고서 작성, 품질 지표 정리</t>
  </si>
  <si>
    <t>9.0</t>
  </si>
  <si>
    <t>배포 및 운영 준비</t>
  </si>
  <si>
    <t>9.1</t>
  </si>
  <si>
    <t>스테이징 배포 및 검증</t>
  </si>
  <si>
    <t>스테이징 환경 배포, 환경변수·시크릿 점검, 마이그레이션 검증, 스모크 테스트</t>
  </si>
  <si>
    <t>9.2</t>
  </si>
  <si>
    <t>운영 환경 배포</t>
  </si>
  <si>
    <t>운영 EC2·RDS·S3 최종 반영, 무중단(Blue/Green) 배포, 롤백 절차 검증</t>
  </si>
  <si>
    <t>9.3</t>
  </si>
  <si>
    <t>시스템 구성도·인프라 문서 작성</t>
  </si>
  <si>
    <t>AWS 인프라 구성도, 데이터 흐름도, 운영 매뉴얼·장애 대응 절차서 작성</t>
  </si>
  <si>
    <t>9.4</t>
  </si>
  <si>
    <t>운영 모니터링·알람 점검</t>
  </si>
  <si>
    <t>CloudWatch 대시보드 점검, 알람 임계치 튜닝, 로그 보존 정책 확인 [NFR-07-002]</t>
  </si>
  <si>
    <t>9.5</t>
  </si>
  <si>
    <t>최종 배포 및 안정화 점검</t>
  </si>
  <si>
    <t>최종 배포, 전 기능 동작 확인, 성능·비용 모니터링 및 안정화</t>
  </si>
  <si>
    <t>10.0</t>
  </si>
  <si>
    <t>발표 및 산출물 정리</t>
  </si>
  <si>
    <t>10.1</t>
  </si>
  <si>
    <t>중간 발표 준비</t>
  </si>
  <si>
    <t>중간 발표 PT 자료 제작 및 리허설</t>
  </si>
  <si>
    <t>10.2</t>
  </si>
  <si>
    <t>주간 진행사항 발표</t>
  </si>
  <si>
    <t>매주 월요일 진행사항 공유 (8/17, 8/24, 8/31, 9/7, 9/14, 9/21, 9/28, 10/5)</t>
  </si>
  <si>
    <t>10.3</t>
  </si>
  <si>
    <t>산출물 문서화</t>
  </si>
  <si>
    <t>아키텍처 문서 및 README 작성, GitHub docs 정리</t>
  </si>
  <si>
    <t>10.4</t>
  </si>
  <si>
    <t>최종 발표 자료 제작</t>
  </si>
  <si>
    <t>최종 발표 PT 자료 제작 및 발표 리허설</t>
  </si>
  <si>
    <t>10.5</t>
  </si>
  <si>
    <t>시연영상 제작</t>
  </si>
  <si>
    <t>시연 시나리오 작성, 녹화 및 편집</t>
  </si>
  <si>
    <t>10.6</t>
  </si>
  <si>
    <t>리소스 정리 및 고도화</t>
  </si>
  <si>
    <t>AWS 리소스 정리·비용 정산, 프로젝트 평가 준비, 고도화 항목 정리</t>
  </si>
  <si>
    <t>전체 진행률</t>
  </si>
  <si>
    <t>칸 기준</t>
  </si>
  <si>
    <t>팀 구성 (5명)</t>
  </si>
  <si>
    <t>프로젝트 총괄 / 일정·품질 관리 / 직원관리·결재 도메인 / 보안·모니터링</t>
  </si>
  <si>
    <t>박하린</t>
  </si>
  <si>
    <t>AI · Agent</t>
  </si>
  <si>
    <t>이재일</t>
  </si>
  <si>
    <t>데이터 · DB (RDS), AWS 인프라 (EC2, CI/CD)</t>
  </si>
  <si>
    <t>팀원3</t>
  </si>
  <si>
    <t>백엔드</t>
  </si>
  <si>
    <t>팀원4</t>
  </si>
  <si>
    <t>프론트엔드 (Next.js, 화면설계, 시연영상)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</si>
</sst>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년 &quot;m&quot;월 &quot;d&quot;일&quot;"/>
    <numFmt numFmtId="165" formatCode="yy년 m월 d일"/>
  </numFmts>
  <fonts count="18">
    <font>
      <sz val="11.0"/>
      <color rgb="FF000000"/>
      <name val="Calibri"/>
      <scheme val="minor"/>
    </font>
    <font>
      <sz val="11.0"/>
      <color rgb="FF000000"/>
      <name val="Malgun Gothic"/>
    </font>
    <font>
      <b/>
      <sz val="20.0"/>
      <color rgb="FF0B5394"/>
      <name val="Malgun Gothic"/>
    </font>
    <font/>
    <font>
      <b/>
      <sz val="15.0"/>
      <color rgb="FF0B5394"/>
      <name val="Malgun Gothic"/>
    </font>
    <font>
      <b/>
      <sz val="11.0"/>
      <color rgb="FF000000"/>
      <name val="Malgun Gothic"/>
    </font>
    <font>
      <b/>
      <sz val="11.0"/>
      <color rgb="FF666666"/>
      <name val="Malgun Gothic"/>
    </font>
    <font>
      <sz val="11.0"/>
      <color rgb="FFBDD7EE"/>
      <name val="Malgun Gothic"/>
    </font>
    <font>
      <sz val="11.0"/>
      <color rgb="FF666666"/>
      <name val="Malgun Gothic"/>
    </font>
    <font>
      <sz val="11.0"/>
      <color rgb="FF2F75B5"/>
      <name val="Malgun Gothic"/>
    </font>
    <font>
      <sz val="11.0"/>
      <color rgb="FF999999"/>
      <name val="Malgun Gothic"/>
    </font>
    <font>
      <b/>
      <sz val="11.0"/>
      <color rgb="FFFFFFFF"/>
      <name val="Malgun Gothic"/>
    </font>
    <font>
      <b/>
      <sz val="11.0"/>
      <color rgb="FFC00000"/>
      <name val="Malgun Gothic"/>
    </font>
    <font>
      <sz val="11.0"/>
      <color rgb="FFC00000"/>
      <name val="Malgun Gothic"/>
    </font>
    <font>
      <sz val="11.0"/>
      <color rgb="FF434343"/>
      <name val="Malgun Gothic"/>
    </font>
    <font>
      <b/>
      <sz val="11.0"/>
      <color rgb="FF434343"/>
      <name val="Malgun Gothic"/>
    </font>
    <font>
      <sz val="11.0"/>
      <color theme="1"/>
      <name val="Calibri"/>
    </font>
    <font>
      <b/>
      <sz val="11.0"/>
      <color rgb="FF0B5394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</fills>
  <borders count="12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 style="thin">
        <color rgb="FFD9D9D9"/>
      </bottom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center"/>
    </xf>
    <xf borderId="1" fillId="0" fontId="3" numFmtId="0" xfId="0" applyBorder="1" applyFont="1"/>
    <xf borderId="1" fillId="0" fontId="1" numFmtId="0" xfId="0" applyAlignment="1" applyBorder="1" applyFont="1">
      <alignment vertical="bottom"/>
    </xf>
    <xf borderId="1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left" vertical="center"/>
    </xf>
    <xf borderId="2" fillId="0" fontId="3" numFmtId="0" xfId="0" applyBorder="1" applyFont="1"/>
    <xf borderId="2" fillId="0" fontId="1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left" vertical="center"/>
    </xf>
    <xf borderId="3" fillId="0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center"/>
    </xf>
    <xf borderId="3" fillId="0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4" fillId="2" fontId="5" numFmtId="0" xfId="0" applyAlignment="1" applyBorder="1" applyFill="1" applyFont="1">
      <alignment horizontal="center" shrinkToFit="0" vertical="center" wrapText="1"/>
    </xf>
    <xf borderId="5" fillId="3" fontId="11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3" fillId="4" fontId="5" numFmtId="0" xfId="0" applyAlignment="1" applyBorder="1" applyFill="1" applyFont="1">
      <alignment horizontal="center" vertical="center"/>
    </xf>
    <xf borderId="3" fillId="4" fontId="12" numFmtId="0" xfId="0" applyAlignment="1" applyBorder="1" applyFill="1" applyFont="1">
      <alignment horizontal="center" vertical="center"/>
    </xf>
    <xf borderId="3" fillId="5" fontId="5" numFmtId="0" xfId="0" applyAlignment="1" applyBorder="1" applyFill="1" applyFont="1">
      <alignment horizontal="center" vertical="center"/>
    </xf>
    <xf borderId="9" fillId="0" fontId="3" numFmtId="0" xfId="0" applyBorder="1" applyFont="1"/>
    <xf borderId="3" fillId="6" fontId="8" numFmtId="0" xfId="0" applyAlignment="1" applyBorder="1" applyFill="1" applyFont="1">
      <alignment horizontal="center" vertical="center"/>
    </xf>
    <xf borderId="3" fillId="6" fontId="13" numFmtId="0" xfId="0" applyAlignment="1" applyBorder="1" applyFill="1" applyFont="1">
      <alignment horizontal="center" vertical="center"/>
    </xf>
    <xf borderId="3" fillId="7" fontId="8" numFmtId="0" xfId="0" applyAlignment="1" applyBorder="1" applyFill="1" applyFont="1">
      <alignment horizontal="center" vertical="center"/>
    </xf>
    <xf borderId="10" fillId="8" fontId="5" numFmtId="0" xfId="0" applyAlignment="1" applyBorder="1" applyFill="1" applyFont="1">
      <alignment horizontal="left" vertical="center"/>
    </xf>
    <xf borderId="10" fillId="8" fontId="1" numFmtId="0" xfId="0" applyAlignment="1" applyBorder="1" applyFill="1" applyFont="1">
      <alignment vertical="bottom"/>
    </xf>
    <xf borderId="10" fillId="8" fontId="5" numFmtId="164" xfId="0" applyAlignment="1" applyBorder="1" applyFill="1" applyFont="1" applyNumberFormat="1">
      <alignment horizontal="center" vertical="center"/>
    </xf>
    <xf borderId="10" fillId="8" fontId="5" numFmtId="1" xfId="0" applyAlignment="1" applyBorder="1" applyFill="1" applyFont="1" applyNumberFormat="1">
      <alignment horizontal="center" vertical="center"/>
    </xf>
    <xf borderId="10" fillId="8" fontId="5" numFmtId="9" xfId="0" applyAlignment="1" applyBorder="1" applyFill="1" applyFont="1" applyNumberFormat="1">
      <alignment horizontal="center" vertical="center"/>
    </xf>
    <xf borderId="2" fillId="0" fontId="14" numFmtId="0" xfId="0" applyAlignment="1" applyBorder="1" applyFont="1">
      <alignment horizontal="left" vertical="center"/>
    </xf>
    <xf borderId="2" fillId="0" fontId="14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horizontal="center" vertical="center"/>
    </xf>
    <xf borderId="2" fillId="0" fontId="14" numFmtId="164" xfId="0" applyAlignment="1" applyBorder="1" applyFont="1" applyNumberFormat="1">
      <alignment horizontal="center" vertical="center"/>
    </xf>
    <xf borderId="2" fillId="0" fontId="14" numFmtId="1" xfId="0" applyAlignment="1" applyBorder="1" applyFont="1" applyNumberFormat="1">
      <alignment horizontal="center" vertical="center"/>
    </xf>
    <xf borderId="2" fillId="0" fontId="15" numFmtId="9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9" fontId="1" numFmtId="0" xfId="0" applyAlignment="1" applyBorder="1" applyFill="1" applyFont="1">
      <alignment horizontal="center" vertical="center"/>
    </xf>
    <xf borderId="11" fillId="0" fontId="1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left" readingOrder="0" shrinkToFit="0" vertical="center" wrapText="1"/>
    </xf>
    <xf borderId="11" fillId="9" fontId="1" numFmtId="0" xfId="0" applyAlignment="1" applyBorder="1" applyFill="1" applyFont="1">
      <alignment horizontal="center" readingOrder="0" vertical="center"/>
    </xf>
    <xf borderId="2" fillId="0" fontId="14" numFmtId="0" xfId="0" applyAlignment="1" applyBorder="1" applyFont="1">
      <alignment horizontal="left" readingOrder="0" vertical="center"/>
    </xf>
    <xf borderId="11" fillId="9" fontId="16" numFmtId="0" xfId="0" applyBorder="1" applyFill="1" applyFont="1"/>
    <xf borderId="2" fillId="0" fontId="14" numFmtId="164" xfId="0" applyAlignment="1" applyBorder="1" applyFont="1" applyNumberFormat="1">
      <alignment horizontal="center" readingOrder="0" vertical="center"/>
    </xf>
    <xf borderId="11" fillId="9" fontId="16" numFmtId="0" xfId="0" applyAlignment="1" applyBorder="1" applyFill="1" applyFont="1">
      <alignment readingOrder="0"/>
    </xf>
    <xf borderId="10" fillId="8" fontId="5" numFmtId="0" xfId="0" applyAlignment="1" applyBorder="1" applyFill="1" applyFont="1">
      <alignment horizontal="left" readingOrder="0" vertical="center"/>
    </xf>
    <xf borderId="2" fillId="0" fontId="14" numFmtId="165" xfId="0" applyAlignment="1" applyBorder="1" applyFont="1" applyNumberFormat="1">
      <alignment horizontal="center" readingOrder="0" vertical="center"/>
    </xf>
    <xf borderId="11" fillId="6" fontId="1" numFmtId="0" xfId="0" applyAlignment="1" applyBorder="1" applyFill="1" applyFont="1">
      <alignment horizontal="center" vertical="center"/>
    </xf>
    <xf borderId="0" fillId="0" fontId="16" numFmtId="0" xfId="0" applyFont="1"/>
    <xf borderId="0" fillId="0" fontId="17" numFmtId="0" xfId="0" applyAlignment="1" applyFont="1">
      <alignment horizontal="right" vertical="center"/>
    </xf>
    <xf borderId="0" fillId="0" fontId="10" numFmtId="0" xfId="0" applyAlignment="1" applyFont="1">
      <alignment horizontal="right" vertical="center"/>
    </xf>
    <xf borderId="3" fillId="3" fontId="11" numFmtId="9" xfId="0" applyAlignment="1" applyBorder="1" applyFill="1" applyFont="1" applyNumberFormat="1">
      <alignment horizontal="center" vertical="center"/>
    </xf>
    <xf borderId="0" fillId="0" fontId="17" numFmtId="0" xfId="0" applyAlignment="1" applyFont="1">
      <alignment vertical="bottom"/>
    </xf>
    <xf borderId="0" fillId="0" fontId="15" numFmtId="0" xfId="0" applyAlignment="1" applyFont="1">
      <alignment horizontal="left" vertical="center"/>
    </xf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horizontal="left" readingOrder="0" vertical="center"/>
    </xf>
    <xf borderId="0" fillId="0" fontId="14" numFmtId="0" xfId="0" applyAlignment="1" applyFont="1">
      <alignment horizontal="left" readingOrder="0" vertical="center"/>
    </xf>
  </cellXfs>
  <cellStyles count="1">
    <cellStyle xfId="0" name="Normal" builtinId="0"/>
  </cellStyles>
  <dxfs count="2">
    <dxf>
      <font>
        <color rgb="FFBDD7EE"/>
      </font>
      <fill>
        <patternFill patternType="solid">
          <fgColor rgb="FFBDD7EE"/>
          <bgColor rgb="FFBDD7EE"/>
        </patternFill>
      </fill>
      <border/>
    </dxf>
    <dxf>
      <font>
        <color rgb="FF2F75B5"/>
      </font>
      <fill>
        <patternFill patternType="solid">
          <fgColor rgb="FF2F75B5"/>
          <bgColor rgb="FF2F75B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6.43"/>
    <col customWidth="1" min="3" max="3" width="32.43"/>
    <col customWidth="1" min="4" max="4" width="64.86"/>
    <col customWidth="1" min="5" max="5" width="12.14"/>
    <col customWidth="1" min="6" max="7" width="15.0"/>
    <col customWidth="1" min="8" max="8" width="8.57"/>
    <col customWidth="1" min="9" max="9" width="11.0"/>
    <col customWidth="1" min="10" max="67" width="2.57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ht="21.0" customHeight="1">
      <c r="A2" s="1"/>
      <c r="B2" s="2" t="s">
        <v>0</v>
      </c>
      <c r="C2" s="3"/>
      <c r="D2" s="3"/>
      <c r="E2" s="3"/>
      <c r="F2" s="3"/>
      <c r="G2" s="3"/>
      <c r="H2" s="4"/>
      <c r="I2" s="5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</row>
    <row r="3" ht="21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21.0" customHeight="1">
      <c r="A4" s="1"/>
      <c r="B4" s="6" t="s">
        <v>2</v>
      </c>
      <c r="C4" s="7"/>
      <c r="D4" s="8" t="s">
        <v>3</v>
      </c>
      <c r="E4" s="9"/>
      <c r="F4" s="9"/>
      <c r="G4" s="9"/>
      <c r="H4" s="1"/>
      <c r="I4" s="6" t="s">
        <v>4</v>
      </c>
      <c r="J4" s="7"/>
      <c r="K4" s="7"/>
      <c r="L4" s="7"/>
      <c r="M4" s="7"/>
      <c r="N4" s="8" t="s">
        <v>5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21.0" customHeight="1">
      <c r="A5" s="1"/>
      <c r="B5" s="6" t="s">
        <v>6</v>
      </c>
      <c r="C5" s="7"/>
      <c r="D5" s="8" t="s">
        <v>7</v>
      </c>
      <c r="E5" s="9"/>
      <c r="F5" s="9"/>
      <c r="G5" s="9"/>
      <c r="H5" s="1"/>
      <c r="I5" s="6" t="s">
        <v>8</v>
      </c>
      <c r="J5" s="7"/>
      <c r="K5" s="7"/>
      <c r="L5" s="7"/>
      <c r="M5" s="7"/>
      <c r="N5" s="10" t="s">
        <v>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21.0" customHeight="1">
      <c r="A6" s="1"/>
      <c r="B6" s="6" t="s">
        <v>10</v>
      </c>
      <c r="C6" s="7"/>
      <c r="D6" s="8" t="s">
        <v>11</v>
      </c>
      <c r="E6" s="9"/>
      <c r="F6" s="9"/>
      <c r="G6" s="9"/>
      <c r="H6" s="1"/>
      <c r="I6" s="6" t="s">
        <v>12</v>
      </c>
      <c r="J6" s="7"/>
      <c r="K6" s="7"/>
      <c r="L6" s="7"/>
      <c r="M6" s="7"/>
      <c r="N6" s="10" t="s">
        <v>13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ht="19.5" customHeight="1">
      <c r="A7" s="1"/>
      <c r="B7" s="11"/>
      <c r="C7" s="1"/>
      <c r="D7" s="12"/>
      <c r="E7" s="13"/>
      <c r="G7" s="14"/>
      <c r="H7" s="13"/>
      <c r="I7" s="13"/>
      <c r="J7" s="15"/>
    </row>
    <row r="8" ht="17.25" customHeight="1">
      <c r="A8" s="1"/>
      <c r="B8" s="16" t="s">
        <v>14</v>
      </c>
      <c r="C8" s="16" t="s">
        <v>15</v>
      </c>
      <c r="D8" s="16" t="s">
        <v>16</v>
      </c>
      <c r="E8" s="16" t="s">
        <v>17</v>
      </c>
      <c r="F8" s="16" t="s">
        <v>18</v>
      </c>
      <c r="G8" s="16" t="s">
        <v>19</v>
      </c>
      <c r="H8" s="16" t="s">
        <v>20</v>
      </c>
      <c r="I8" s="16" t="s">
        <v>21</v>
      </c>
      <c r="J8" s="17" t="s">
        <v>22</v>
      </c>
      <c r="K8" s="18"/>
      <c r="L8" s="18"/>
      <c r="M8" s="18"/>
      <c r="N8" s="18"/>
      <c r="O8" s="18"/>
      <c r="P8" s="19"/>
      <c r="Q8" s="17" t="s">
        <v>23</v>
      </c>
      <c r="R8" s="18"/>
      <c r="S8" s="18"/>
      <c r="T8" s="18"/>
      <c r="U8" s="18"/>
      <c r="V8" s="18"/>
      <c r="W8" s="19"/>
      <c r="X8" s="17" t="s">
        <v>24</v>
      </c>
      <c r="Y8" s="18"/>
      <c r="Z8" s="18"/>
      <c r="AA8" s="18"/>
      <c r="AB8" s="18"/>
      <c r="AC8" s="18"/>
      <c r="AD8" s="19"/>
      <c r="AE8" s="17" t="s">
        <v>25</v>
      </c>
      <c r="AF8" s="18"/>
      <c r="AG8" s="18"/>
      <c r="AH8" s="18"/>
      <c r="AI8" s="18"/>
      <c r="AJ8" s="18"/>
      <c r="AK8" s="19"/>
      <c r="AL8" s="17" t="s">
        <v>26</v>
      </c>
      <c r="AM8" s="18"/>
      <c r="AN8" s="18"/>
      <c r="AO8" s="18"/>
      <c r="AP8" s="18"/>
      <c r="AQ8" s="18"/>
      <c r="AR8" s="19"/>
      <c r="AS8" s="17" t="s">
        <v>27</v>
      </c>
      <c r="AT8" s="18"/>
      <c r="AU8" s="18"/>
      <c r="AV8" s="18"/>
      <c r="AW8" s="18"/>
      <c r="AX8" s="18"/>
      <c r="AY8" s="19"/>
      <c r="AZ8" s="17" t="s">
        <v>28</v>
      </c>
      <c r="BA8" s="18"/>
      <c r="BB8" s="18"/>
      <c r="BC8" s="18"/>
      <c r="BD8" s="18"/>
      <c r="BE8" s="18"/>
      <c r="BF8" s="19"/>
      <c r="BG8" s="17" t="s">
        <v>29</v>
      </c>
      <c r="BH8" s="18"/>
      <c r="BI8" s="18"/>
      <c r="BJ8" s="18"/>
      <c r="BK8" s="18"/>
      <c r="BL8" s="18"/>
      <c r="BM8" s="19"/>
      <c r="BN8" s="17" t="s">
        <v>30</v>
      </c>
      <c r="BO8" s="19"/>
    </row>
    <row r="9" ht="17.25" customHeight="1">
      <c r="A9" s="1"/>
      <c r="B9" s="20"/>
      <c r="C9" s="20"/>
      <c r="D9" s="20"/>
      <c r="E9" s="20"/>
      <c r="F9" s="20"/>
      <c r="G9" s="20"/>
      <c r="H9" s="20"/>
      <c r="I9" s="20"/>
      <c r="J9" s="21" t="s">
        <v>31</v>
      </c>
      <c r="K9" s="21" t="s">
        <v>32</v>
      </c>
      <c r="L9" s="21" t="s">
        <v>33</v>
      </c>
      <c r="M9" s="21" t="s">
        <v>34</v>
      </c>
      <c r="N9" s="21" t="s">
        <v>35</v>
      </c>
      <c r="O9" s="22" t="s">
        <v>36</v>
      </c>
      <c r="P9" s="22" t="s">
        <v>37</v>
      </c>
      <c r="Q9" s="21" t="s">
        <v>31</v>
      </c>
      <c r="R9" s="21" t="s">
        <v>32</v>
      </c>
      <c r="S9" s="23" t="s">
        <v>33</v>
      </c>
      <c r="T9" s="21" t="s">
        <v>34</v>
      </c>
      <c r="U9" s="21" t="s">
        <v>35</v>
      </c>
      <c r="V9" s="22" t="s">
        <v>36</v>
      </c>
      <c r="W9" s="22" t="s">
        <v>37</v>
      </c>
      <c r="X9" s="21" t="s">
        <v>31</v>
      </c>
      <c r="Y9" s="21" t="s">
        <v>32</v>
      </c>
      <c r="Z9" s="21" t="s">
        <v>33</v>
      </c>
      <c r="AA9" s="21" t="s">
        <v>34</v>
      </c>
      <c r="AB9" s="21" t="s">
        <v>35</v>
      </c>
      <c r="AC9" s="22" t="s">
        <v>36</v>
      </c>
      <c r="AD9" s="22" t="s">
        <v>37</v>
      </c>
      <c r="AE9" s="21" t="s">
        <v>31</v>
      </c>
      <c r="AF9" s="21" t="s">
        <v>32</v>
      </c>
      <c r="AG9" s="21" t="s">
        <v>33</v>
      </c>
      <c r="AH9" s="21" t="s">
        <v>34</v>
      </c>
      <c r="AI9" s="21" t="s">
        <v>35</v>
      </c>
      <c r="AJ9" s="22" t="s">
        <v>36</v>
      </c>
      <c r="AK9" s="22" t="s">
        <v>37</v>
      </c>
      <c r="AL9" s="21" t="s">
        <v>31</v>
      </c>
      <c r="AM9" s="21" t="s">
        <v>32</v>
      </c>
      <c r="AN9" s="21" t="s">
        <v>33</v>
      </c>
      <c r="AO9" s="21" t="s">
        <v>34</v>
      </c>
      <c r="AP9" s="21" t="s">
        <v>35</v>
      </c>
      <c r="AQ9" s="22" t="s">
        <v>36</v>
      </c>
      <c r="AR9" s="22" t="s">
        <v>37</v>
      </c>
      <c r="AS9" s="21" t="s">
        <v>31</v>
      </c>
      <c r="AT9" s="21" t="s">
        <v>32</v>
      </c>
      <c r="AU9" s="21" t="s">
        <v>33</v>
      </c>
      <c r="AV9" s="21" t="s">
        <v>34</v>
      </c>
      <c r="AW9" s="21" t="s">
        <v>35</v>
      </c>
      <c r="AX9" s="22" t="s">
        <v>36</v>
      </c>
      <c r="AY9" s="22" t="s">
        <v>37</v>
      </c>
      <c r="AZ9" s="21" t="s">
        <v>31</v>
      </c>
      <c r="BA9" s="21" t="s">
        <v>32</v>
      </c>
      <c r="BB9" s="21" t="s">
        <v>33</v>
      </c>
      <c r="BC9" s="21" t="s">
        <v>34</v>
      </c>
      <c r="BD9" s="21" t="s">
        <v>35</v>
      </c>
      <c r="BE9" s="22" t="s">
        <v>36</v>
      </c>
      <c r="BF9" s="22" t="s">
        <v>37</v>
      </c>
      <c r="BG9" s="21" t="s">
        <v>31</v>
      </c>
      <c r="BH9" s="21" t="s">
        <v>32</v>
      </c>
      <c r="BI9" s="21" t="s">
        <v>33</v>
      </c>
      <c r="BJ9" s="21" t="s">
        <v>34</v>
      </c>
      <c r="BK9" s="21" t="s">
        <v>35</v>
      </c>
      <c r="BL9" s="22" t="s">
        <v>36</v>
      </c>
      <c r="BM9" s="22" t="s">
        <v>37</v>
      </c>
      <c r="BN9" s="21" t="s">
        <v>31</v>
      </c>
      <c r="BO9" s="21" t="s">
        <v>32</v>
      </c>
    </row>
    <row r="10" ht="17.25" customHeight="1">
      <c r="A10" s="1"/>
      <c r="B10" s="24"/>
      <c r="C10" s="24"/>
      <c r="D10" s="24"/>
      <c r="E10" s="24"/>
      <c r="F10" s="24"/>
      <c r="G10" s="24"/>
      <c r="H10" s="24"/>
      <c r="I10" s="24"/>
      <c r="J10" s="25">
        <v>10.0</v>
      </c>
      <c r="K10" s="25">
        <v>11.0</v>
      </c>
      <c r="L10" s="25">
        <v>12.0</v>
      </c>
      <c r="M10" s="25">
        <v>13.0</v>
      </c>
      <c r="N10" s="25">
        <v>14.0</v>
      </c>
      <c r="O10" s="26">
        <v>15.0</v>
      </c>
      <c r="P10" s="26">
        <v>16.0</v>
      </c>
      <c r="Q10" s="25">
        <v>17.0</v>
      </c>
      <c r="R10" s="25">
        <v>18.0</v>
      </c>
      <c r="S10" s="27">
        <v>19.0</v>
      </c>
      <c r="T10" s="25">
        <v>20.0</v>
      </c>
      <c r="U10" s="25">
        <v>21.0</v>
      </c>
      <c r="V10" s="26">
        <v>22.0</v>
      </c>
      <c r="W10" s="26">
        <v>23.0</v>
      </c>
      <c r="X10" s="25">
        <v>24.0</v>
      </c>
      <c r="Y10" s="25">
        <v>25.0</v>
      </c>
      <c r="Z10" s="25">
        <v>26.0</v>
      </c>
      <c r="AA10" s="25">
        <v>27.0</v>
      </c>
      <c r="AB10" s="25">
        <v>28.0</v>
      </c>
      <c r="AC10" s="26">
        <v>29.0</v>
      </c>
      <c r="AD10" s="26">
        <v>30.0</v>
      </c>
      <c r="AE10" s="25">
        <v>31.0</v>
      </c>
      <c r="AF10" s="25">
        <v>1.0</v>
      </c>
      <c r="AG10" s="25">
        <v>2.0</v>
      </c>
      <c r="AH10" s="25">
        <v>3.0</v>
      </c>
      <c r="AI10" s="25">
        <v>4.0</v>
      </c>
      <c r="AJ10" s="26">
        <v>5.0</v>
      </c>
      <c r="AK10" s="26">
        <v>6.0</v>
      </c>
      <c r="AL10" s="25">
        <v>7.0</v>
      </c>
      <c r="AM10" s="25">
        <v>8.0</v>
      </c>
      <c r="AN10" s="25">
        <v>9.0</v>
      </c>
      <c r="AO10" s="25">
        <v>10.0</v>
      </c>
      <c r="AP10" s="25">
        <v>11.0</v>
      </c>
      <c r="AQ10" s="26">
        <v>12.0</v>
      </c>
      <c r="AR10" s="26">
        <v>13.0</v>
      </c>
      <c r="AS10" s="25">
        <v>14.0</v>
      </c>
      <c r="AT10" s="25">
        <v>15.0</v>
      </c>
      <c r="AU10" s="25">
        <v>16.0</v>
      </c>
      <c r="AV10" s="25">
        <v>17.0</v>
      </c>
      <c r="AW10" s="25">
        <v>18.0</v>
      </c>
      <c r="AX10" s="26">
        <v>19.0</v>
      </c>
      <c r="AY10" s="26">
        <v>20.0</v>
      </c>
      <c r="AZ10" s="25">
        <v>21.0</v>
      </c>
      <c r="BA10" s="25">
        <v>22.0</v>
      </c>
      <c r="BB10" s="25">
        <v>23.0</v>
      </c>
      <c r="BC10" s="25">
        <v>24.0</v>
      </c>
      <c r="BD10" s="25">
        <v>25.0</v>
      </c>
      <c r="BE10" s="26">
        <v>26.0</v>
      </c>
      <c r="BF10" s="26">
        <v>27.0</v>
      </c>
      <c r="BG10" s="25">
        <v>28.0</v>
      </c>
      <c r="BH10" s="25">
        <v>29.0</v>
      </c>
      <c r="BI10" s="25">
        <v>30.0</v>
      </c>
      <c r="BJ10" s="25">
        <v>1.0</v>
      </c>
      <c r="BK10" s="25">
        <v>2.0</v>
      </c>
      <c r="BL10" s="26">
        <v>3.0</v>
      </c>
      <c r="BM10" s="26">
        <v>4.0</v>
      </c>
      <c r="BN10" s="25">
        <v>5.0</v>
      </c>
      <c r="BO10" s="25">
        <v>6.0</v>
      </c>
    </row>
    <row r="11" ht="21.0" customHeight="1">
      <c r="A11" s="1"/>
      <c r="B11" s="28" t="s">
        <v>38</v>
      </c>
      <c r="C11" s="28" t="s">
        <v>39</v>
      </c>
      <c r="D11" s="29"/>
      <c r="E11" s="29"/>
      <c r="F11" s="30">
        <f>MIN(F12:F23)</f>
        <v>46244</v>
      </c>
      <c r="G11" s="30">
        <f>MAX(G12:G23)</f>
        <v>46262</v>
      </c>
      <c r="H11" s="31">
        <f>G11-F11+1</f>
        <v>19</v>
      </c>
      <c r="I11" s="32">
        <f>IFERROR(COUNTIF($J$12:$BO$23,2)/(COUNTIF($J$12:$BO$23,1)+COUNTIF($J$12:$BO$23,2)),0)</f>
        <v>1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</row>
    <row r="12">
      <c r="A12" s="1"/>
      <c r="B12" s="33" t="s">
        <v>40</v>
      </c>
      <c r="C12" s="33" t="s">
        <v>41</v>
      </c>
      <c r="D12" s="34" t="s">
        <v>42</v>
      </c>
      <c r="E12" s="35" t="s">
        <v>43</v>
      </c>
      <c r="F12" s="36">
        <v>46244.0</v>
      </c>
      <c r="G12" s="36">
        <v>46248.0</v>
      </c>
      <c r="H12" s="37">
        <f t="shared" ref="H12:H23" si="1">IF(OR($F12="",$G12=""),"",$G12-$F12+1)</f>
        <v>5</v>
      </c>
      <c r="I12" s="38">
        <f t="shared" ref="I12:I23" si="2">IFERROR(COUNTIF($J12:$BO12,2)/(COUNTIF($J12:$BO12,1)+COUNTIF($J12:$BO12,2)),0)</f>
        <v>1</v>
      </c>
      <c r="J12" s="39">
        <v>2.0</v>
      </c>
      <c r="K12" s="39">
        <v>2.0</v>
      </c>
      <c r="L12" s="39">
        <v>2.0</v>
      </c>
      <c r="M12" s="39">
        <v>2.0</v>
      </c>
      <c r="N12" s="39">
        <v>2.0</v>
      </c>
      <c r="O12" s="40"/>
      <c r="P12" s="40"/>
      <c r="Q12" s="39"/>
      <c r="R12" s="39"/>
      <c r="S12" s="39"/>
      <c r="T12" s="39"/>
      <c r="U12" s="39"/>
      <c r="V12" s="40"/>
      <c r="W12" s="40"/>
      <c r="X12" s="39"/>
      <c r="Y12" s="39"/>
      <c r="Z12" s="39"/>
      <c r="AA12" s="39"/>
      <c r="AB12" s="39"/>
      <c r="AC12" s="40"/>
      <c r="AD12" s="40"/>
      <c r="AE12" s="39"/>
      <c r="AF12" s="39"/>
      <c r="AG12" s="39"/>
      <c r="AH12" s="39"/>
      <c r="AI12" s="39"/>
      <c r="AJ12" s="40"/>
      <c r="AK12" s="40"/>
      <c r="AL12" s="39"/>
      <c r="AM12" s="39"/>
      <c r="AN12" s="39"/>
      <c r="AO12" s="39"/>
      <c r="AP12" s="39"/>
      <c r="AQ12" s="40"/>
      <c r="AR12" s="40"/>
      <c r="AS12" s="39"/>
      <c r="AT12" s="39"/>
      <c r="AU12" s="39"/>
      <c r="AV12" s="39"/>
      <c r="AW12" s="39"/>
      <c r="AX12" s="40"/>
      <c r="AY12" s="40"/>
      <c r="AZ12" s="39"/>
      <c r="BA12" s="39"/>
      <c r="BB12" s="39"/>
      <c r="BC12" s="39"/>
      <c r="BD12" s="39"/>
      <c r="BE12" s="40"/>
      <c r="BF12" s="40"/>
      <c r="BG12" s="39"/>
      <c r="BH12" s="39"/>
      <c r="BI12" s="39"/>
      <c r="BJ12" s="39"/>
      <c r="BK12" s="39"/>
      <c r="BL12" s="40"/>
      <c r="BM12" s="40"/>
      <c r="BN12" s="39"/>
      <c r="BO12" s="39"/>
    </row>
    <row r="13">
      <c r="A13" s="1"/>
      <c r="B13" s="33" t="s">
        <v>44</v>
      </c>
      <c r="C13" s="33" t="s">
        <v>45</v>
      </c>
      <c r="D13" s="34" t="s">
        <v>46</v>
      </c>
      <c r="E13" s="35" t="s">
        <v>43</v>
      </c>
      <c r="F13" s="36">
        <v>46247.0</v>
      </c>
      <c r="G13" s="36">
        <v>46253.0</v>
      </c>
      <c r="H13" s="37">
        <f t="shared" si="1"/>
        <v>7</v>
      </c>
      <c r="I13" s="38">
        <f t="shared" si="2"/>
        <v>1</v>
      </c>
      <c r="J13" s="39"/>
      <c r="K13" s="39"/>
      <c r="L13" s="39"/>
      <c r="M13" s="39">
        <v>2.0</v>
      </c>
      <c r="N13" s="39">
        <v>2.0</v>
      </c>
      <c r="O13" s="39">
        <v>2.0</v>
      </c>
      <c r="P13" s="39">
        <v>2.0</v>
      </c>
      <c r="Q13" s="39">
        <v>2.0</v>
      </c>
      <c r="R13" s="39">
        <v>2.0</v>
      </c>
      <c r="S13" s="39">
        <v>2.0</v>
      </c>
      <c r="T13" s="39"/>
      <c r="U13" s="39"/>
      <c r="V13" s="40"/>
      <c r="W13" s="40"/>
      <c r="X13" s="39"/>
      <c r="Y13" s="39"/>
      <c r="Z13" s="39"/>
      <c r="AA13" s="39"/>
      <c r="AB13" s="39"/>
      <c r="AC13" s="40"/>
      <c r="AD13" s="40"/>
      <c r="AE13" s="39"/>
      <c r="AF13" s="39"/>
      <c r="AG13" s="39"/>
      <c r="AH13" s="39"/>
      <c r="AI13" s="39"/>
      <c r="AJ13" s="40"/>
      <c r="AK13" s="40"/>
      <c r="AL13" s="39"/>
      <c r="AM13" s="39"/>
      <c r="AN13" s="39"/>
      <c r="AO13" s="39"/>
      <c r="AP13" s="39"/>
      <c r="AQ13" s="40"/>
      <c r="AR13" s="40"/>
      <c r="AS13" s="39"/>
      <c r="AT13" s="39"/>
      <c r="AU13" s="39"/>
      <c r="AV13" s="39"/>
      <c r="AW13" s="39"/>
      <c r="AX13" s="40"/>
      <c r="AY13" s="40"/>
      <c r="AZ13" s="39"/>
      <c r="BA13" s="39"/>
      <c r="BB13" s="39"/>
      <c r="BC13" s="39"/>
      <c r="BD13" s="39"/>
      <c r="BE13" s="40"/>
      <c r="BF13" s="40"/>
      <c r="BG13" s="39"/>
      <c r="BH13" s="39"/>
      <c r="BI13" s="39"/>
      <c r="BJ13" s="39"/>
      <c r="BK13" s="39"/>
      <c r="BL13" s="40"/>
      <c r="BM13" s="40"/>
      <c r="BN13" s="39"/>
      <c r="BO13" s="39"/>
    </row>
    <row r="14">
      <c r="A14" s="1"/>
      <c r="B14" s="33" t="s">
        <v>47</v>
      </c>
      <c r="C14" s="33" t="s">
        <v>48</v>
      </c>
      <c r="D14" s="34" t="s">
        <v>49</v>
      </c>
      <c r="E14" s="35" t="s">
        <v>43</v>
      </c>
      <c r="F14" s="36">
        <v>46251.0</v>
      </c>
      <c r="G14" s="36">
        <v>46255.0</v>
      </c>
      <c r="H14" s="37">
        <f t="shared" si="1"/>
        <v>5</v>
      </c>
      <c r="I14" s="38">
        <f t="shared" si="2"/>
        <v>1</v>
      </c>
      <c r="J14" s="39"/>
      <c r="K14" s="39"/>
      <c r="L14" s="39"/>
      <c r="M14" s="39"/>
      <c r="N14" s="39"/>
      <c r="O14" s="40"/>
      <c r="P14" s="40"/>
      <c r="Q14" s="39">
        <v>2.0</v>
      </c>
      <c r="R14" s="39">
        <v>2.0</v>
      </c>
      <c r="S14" s="39">
        <v>2.0</v>
      </c>
      <c r="T14" s="39"/>
      <c r="U14" s="39"/>
      <c r="V14" s="40"/>
      <c r="W14" s="40"/>
      <c r="X14" s="39"/>
      <c r="Y14" s="39"/>
      <c r="Z14" s="39"/>
      <c r="AA14" s="39"/>
      <c r="AB14" s="39"/>
      <c r="AC14" s="40"/>
      <c r="AD14" s="40"/>
      <c r="AE14" s="39"/>
      <c r="AF14" s="39"/>
      <c r="AG14" s="39"/>
      <c r="AH14" s="39"/>
      <c r="AI14" s="39"/>
      <c r="AJ14" s="40"/>
      <c r="AK14" s="40"/>
      <c r="AL14" s="39"/>
      <c r="AM14" s="39"/>
      <c r="AN14" s="39"/>
      <c r="AO14" s="39"/>
      <c r="AP14" s="39"/>
      <c r="AQ14" s="40"/>
      <c r="AR14" s="40"/>
      <c r="AS14" s="39"/>
      <c r="AT14" s="39"/>
      <c r="AU14" s="39"/>
      <c r="AV14" s="39"/>
      <c r="AW14" s="39"/>
      <c r="AX14" s="40"/>
      <c r="AY14" s="40"/>
      <c r="AZ14" s="39"/>
      <c r="BA14" s="39"/>
      <c r="BB14" s="39"/>
      <c r="BC14" s="39"/>
      <c r="BD14" s="39"/>
      <c r="BE14" s="40"/>
      <c r="BF14" s="40"/>
      <c r="BG14" s="39"/>
      <c r="BH14" s="39"/>
      <c r="BI14" s="39"/>
      <c r="BJ14" s="39"/>
      <c r="BK14" s="39"/>
      <c r="BL14" s="40"/>
      <c r="BM14" s="40"/>
      <c r="BN14" s="39"/>
      <c r="BO14" s="39"/>
    </row>
    <row r="15">
      <c r="A15" s="1"/>
      <c r="B15" s="33" t="s">
        <v>50</v>
      </c>
      <c r="C15" s="33" t="s">
        <v>51</v>
      </c>
      <c r="D15" s="34" t="s">
        <v>52</v>
      </c>
      <c r="E15" s="35" t="s">
        <v>43</v>
      </c>
      <c r="F15" s="36">
        <v>46251.0</v>
      </c>
      <c r="G15" s="36">
        <v>46255.0</v>
      </c>
      <c r="H15" s="37">
        <f t="shared" si="1"/>
        <v>5</v>
      </c>
      <c r="I15" s="38">
        <f t="shared" si="2"/>
        <v>1</v>
      </c>
      <c r="J15" s="39"/>
      <c r="K15" s="39"/>
      <c r="L15" s="39"/>
      <c r="M15" s="39"/>
      <c r="N15" s="39"/>
      <c r="O15" s="40"/>
      <c r="P15" s="40"/>
      <c r="Q15" s="39">
        <v>2.0</v>
      </c>
      <c r="R15" s="39">
        <v>2.0</v>
      </c>
      <c r="S15" s="41">
        <v>2.0</v>
      </c>
      <c r="T15" s="39"/>
      <c r="U15" s="39"/>
      <c r="V15" s="40"/>
      <c r="W15" s="40"/>
      <c r="X15" s="39"/>
      <c r="Y15" s="39"/>
      <c r="Z15" s="39"/>
      <c r="AA15" s="39"/>
      <c r="AB15" s="39"/>
      <c r="AC15" s="40"/>
      <c r="AD15" s="40"/>
      <c r="AE15" s="39"/>
      <c r="AF15" s="39"/>
      <c r="AG15" s="39"/>
      <c r="AH15" s="39"/>
      <c r="AI15" s="39"/>
      <c r="AJ15" s="40"/>
      <c r="AK15" s="40"/>
      <c r="AL15" s="39"/>
      <c r="AM15" s="39"/>
      <c r="AN15" s="39"/>
      <c r="AO15" s="39"/>
      <c r="AP15" s="39"/>
      <c r="AQ15" s="40"/>
      <c r="AR15" s="40"/>
      <c r="AS15" s="39"/>
      <c r="AT15" s="39"/>
      <c r="AU15" s="39"/>
      <c r="AV15" s="39"/>
      <c r="AW15" s="39"/>
      <c r="AX15" s="40"/>
      <c r="AY15" s="40"/>
      <c r="AZ15" s="39"/>
      <c r="BA15" s="39"/>
      <c r="BB15" s="39"/>
      <c r="BC15" s="39"/>
      <c r="BD15" s="39"/>
      <c r="BE15" s="40"/>
      <c r="BF15" s="40"/>
      <c r="BG15" s="39"/>
      <c r="BH15" s="39"/>
      <c r="BI15" s="39"/>
      <c r="BJ15" s="39"/>
      <c r="BK15" s="39"/>
      <c r="BL15" s="40"/>
      <c r="BM15" s="40"/>
      <c r="BN15" s="39"/>
      <c r="BO15" s="39"/>
    </row>
    <row r="16">
      <c r="A16" s="1"/>
      <c r="B16" s="33" t="s">
        <v>53</v>
      </c>
      <c r="C16" s="33" t="s">
        <v>54</v>
      </c>
      <c r="D16" s="34" t="s">
        <v>55</v>
      </c>
      <c r="E16" s="42" t="s">
        <v>43</v>
      </c>
      <c r="F16" s="36">
        <v>46252.0</v>
      </c>
      <c r="G16" s="36">
        <v>46255.0</v>
      </c>
      <c r="H16" s="37">
        <f t="shared" si="1"/>
        <v>4</v>
      </c>
      <c r="I16" s="38">
        <f t="shared" si="2"/>
        <v>1</v>
      </c>
      <c r="J16" s="39"/>
      <c r="K16" s="39"/>
      <c r="L16" s="39"/>
      <c r="M16" s="39"/>
      <c r="N16" s="39"/>
      <c r="O16" s="40"/>
      <c r="P16" s="40"/>
      <c r="Q16" s="39"/>
      <c r="R16" s="39">
        <v>2.0</v>
      </c>
      <c r="S16" s="41">
        <v>2.0</v>
      </c>
      <c r="T16" s="41">
        <v>2.0</v>
      </c>
      <c r="U16" s="39"/>
      <c r="V16" s="40"/>
      <c r="W16" s="40"/>
      <c r="X16" s="39"/>
      <c r="Y16" s="39"/>
      <c r="Z16" s="39"/>
      <c r="AA16" s="39"/>
      <c r="AB16" s="39"/>
      <c r="AC16" s="40"/>
      <c r="AD16" s="40"/>
      <c r="AE16" s="39"/>
      <c r="AF16" s="39"/>
      <c r="AG16" s="39"/>
      <c r="AH16" s="39"/>
      <c r="AI16" s="39"/>
      <c r="AJ16" s="40"/>
      <c r="AK16" s="40"/>
      <c r="AL16" s="39"/>
      <c r="AM16" s="39"/>
      <c r="AN16" s="39"/>
      <c r="AO16" s="39"/>
      <c r="AP16" s="39"/>
      <c r="AQ16" s="40"/>
      <c r="AR16" s="40"/>
      <c r="AS16" s="39"/>
      <c r="AT16" s="39"/>
      <c r="AU16" s="39"/>
      <c r="AV16" s="39"/>
      <c r="AW16" s="39"/>
      <c r="AX16" s="40"/>
      <c r="AY16" s="40"/>
      <c r="AZ16" s="39"/>
      <c r="BA16" s="39"/>
      <c r="BB16" s="39"/>
      <c r="BC16" s="39"/>
      <c r="BD16" s="39"/>
      <c r="BE16" s="40"/>
      <c r="BF16" s="40"/>
      <c r="BG16" s="39"/>
      <c r="BH16" s="39"/>
      <c r="BI16" s="39"/>
      <c r="BJ16" s="39"/>
      <c r="BK16" s="39"/>
      <c r="BL16" s="40"/>
      <c r="BM16" s="40"/>
      <c r="BN16" s="39"/>
      <c r="BO16" s="39"/>
    </row>
    <row r="17">
      <c r="A17" s="1"/>
      <c r="B17" s="33" t="s">
        <v>56</v>
      </c>
      <c r="C17" s="33" t="s">
        <v>57</v>
      </c>
      <c r="D17" s="34" t="s">
        <v>58</v>
      </c>
      <c r="E17" s="42" t="s">
        <v>43</v>
      </c>
      <c r="F17" s="36">
        <v>46253.0</v>
      </c>
      <c r="G17" s="36">
        <v>46260.0</v>
      </c>
      <c r="H17" s="37">
        <f t="shared" si="1"/>
        <v>8</v>
      </c>
      <c r="I17" s="38">
        <f t="shared" si="2"/>
        <v>1</v>
      </c>
      <c r="J17" s="39"/>
      <c r="K17" s="39"/>
      <c r="L17" s="39"/>
      <c r="M17" s="39"/>
      <c r="N17" s="39"/>
      <c r="O17" s="40"/>
      <c r="P17" s="40"/>
      <c r="Q17" s="39"/>
      <c r="R17" s="39"/>
      <c r="S17" s="41">
        <v>2.0</v>
      </c>
      <c r="T17" s="41">
        <v>2.0</v>
      </c>
      <c r="U17" s="41">
        <v>2.0</v>
      </c>
      <c r="V17" s="41">
        <v>2.0</v>
      </c>
      <c r="W17" s="41">
        <v>2.0</v>
      </c>
      <c r="X17" s="41">
        <v>2.0</v>
      </c>
      <c r="Y17" s="41">
        <v>2.0</v>
      </c>
      <c r="Z17" s="41">
        <v>2.0</v>
      </c>
      <c r="AA17" s="41"/>
      <c r="AB17" s="39"/>
      <c r="AC17" s="40"/>
      <c r="AD17" s="40"/>
      <c r="AE17" s="39"/>
      <c r="AF17" s="39"/>
      <c r="AG17" s="39"/>
      <c r="AH17" s="39"/>
      <c r="AI17" s="39"/>
      <c r="AJ17" s="40"/>
      <c r="AK17" s="40"/>
      <c r="AL17" s="39"/>
      <c r="AM17" s="39"/>
      <c r="AN17" s="39"/>
      <c r="AO17" s="39"/>
      <c r="AP17" s="39"/>
      <c r="AQ17" s="40"/>
      <c r="AR17" s="40"/>
      <c r="AS17" s="39"/>
      <c r="AT17" s="39"/>
      <c r="AU17" s="39"/>
      <c r="AV17" s="39"/>
      <c r="AW17" s="39"/>
      <c r="AX17" s="40"/>
      <c r="AY17" s="40"/>
      <c r="AZ17" s="39"/>
      <c r="BA17" s="39"/>
      <c r="BB17" s="39"/>
      <c r="BC17" s="39"/>
      <c r="BD17" s="39"/>
      <c r="BE17" s="40"/>
      <c r="BF17" s="40"/>
      <c r="BG17" s="39"/>
      <c r="BH17" s="39"/>
      <c r="BI17" s="39"/>
      <c r="BJ17" s="39"/>
      <c r="BK17" s="39"/>
      <c r="BL17" s="40"/>
      <c r="BM17" s="40"/>
      <c r="BN17" s="39"/>
      <c r="BO17" s="39"/>
    </row>
    <row r="18">
      <c r="A18" s="1"/>
      <c r="B18" s="33" t="s">
        <v>59</v>
      </c>
      <c r="C18" s="33" t="s">
        <v>60</v>
      </c>
      <c r="D18" s="34" t="s">
        <v>61</v>
      </c>
      <c r="E18" s="42" t="s">
        <v>62</v>
      </c>
      <c r="F18" s="36">
        <v>46253.0</v>
      </c>
      <c r="G18" s="36">
        <v>46260.0</v>
      </c>
      <c r="H18" s="37">
        <f t="shared" si="1"/>
        <v>8</v>
      </c>
      <c r="I18" s="38">
        <f t="shared" si="2"/>
        <v>1</v>
      </c>
      <c r="J18" s="39"/>
      <c r="K18" s="39"/>
      <c r="L18" s="39"/>
      <c r="M18" s="39"/>
      <c r="N18" s="39"/>
      <c r="O18" s="40"/>
      <c r="P18" s="40"/>
      <c r="Q18" s="39"/>
      <c r="R18" s="39"/>
      <c r="S18" s="41">
        <v>2.0</v>
      </c>
      <c r="T18" s="41">
        <v>2.0</v>
      </c>
      <c r="U18" s="41">
        <v>2.0</v>
      </c>
      <c r="V18" s="41">
        <v>2.0</v>
      </c>
      <c r="W18" s="41">
        <v>2.0</v>
      </c>
      <c r="X18" s="41">
        <v>2.0</v>
      </c>
      <c r="Y18" s="41">
        <v>2.0</v>
      </c>
      <c r="Z18" s="41">
        <v>2.0</v>
      </c>
      <c r="AA18" s="41"/>
      <c r="AB18" s="39"/>
      <c r="AC18" s="40"/>
      <c r="AD18" s="40"/>
      <c r="AE18" s="39"/>
      <c r="AF18" s="39"/>
      <c r="AG18" s="39"/>
      <c r="AH18" s="39"/>
      <c r="AI18" s="39"/>
      <c r="AJ18" s="40"/>
      <c r="AK18" s="40"/>
      <c r="AL18" s="39"/>
      <c r="AM18" s="39"/>
      <c r="AN18" s="39"/>
      <c r="AO18" s="39"/>
      <c r="AP18" s="39"/>
      <c r="AQ18" s="40"/>
      <c r="AR18" s="40"/>
      <c r="AS18" s="39"/>
      <c r="AT18" s="39"/>
      <c r="AU18" s="39"/>
      <c r="AV18" s="39"/>
      <c r="AW18" s="39"/>
      <c r="AX18" s="40"/>
      <c r="AY18" s="40"/>
      <c r="AZ18" s="39"/>
      <c r="BA18" s="39"/>
      <c r="BB18" s="39"/>
      <c r="BC18" s="39"/>
      <c r="BD18" s="39"/>
      <c r="BE18" s="40"/>
      <c r="BF18" s="40"/>
      <c r="BG18" s="39"/>
      <c r="BH18" s="39"/>
      <c r="BI18" s="39"/>
      <c r="BJ18" s="39"/>
      <c r="BK18" s="39"/>
      <c r="BL18" s="40"/>
      <c r="BM18" s="40"/>
      <c r="BN18" s="39"/>
      <c r="BO18" s="39"/>
    </row>
    <row r="19">
      <c r="A19" s="1"/>
      <c r="B19" s="33" t="s">
        <v>63</v>
      </c>
      <c r="C19" s="33" t="s">
        <v>64</v>
      </c>
      <c r="D19" s="43" t="s">
        <v>65</v>
      </c>
      <c r="E19" s="42" t="s">
        <v>43</v>
      </c>
      <c r="F19" s="36">
        <v>46254.0</v>
      </c>
      <c r="G19" s="36">
        <v>46261.0</v>
      </c>
      <c r="H19" s="37">
        <f t="shared" si="1"/>
        <v>8</v>
      </c>
      <c r="I19" s="38">
        <f t="shared" si="2"/>
        <v>1</v>
      </c>
      <c r="J19" s="39"/>
      <c r="K19" s="39"/>
      <c r="L19" s="39"/>
      <c r="M19" s="39"/>
      <c r="N19" s="39"/>
      <c r="O19" s="40"/>
      <c r="P19" s="40"/>
      <c r="Q19" s="39"/>
      <c r="R19" s="39"/>
      <c r="S19" s="39"/>
      <c r="T19" s="41">
        <v>2.0</v>
      </c>
      <c r="U19" s="41">
        <v>2.0</v>
      </c>
      <c r="V19" s="41">
        <v>2.0</v>
      </c>
      <c r="W19" s="41">
        <v>2.0</v>
      </c>
      <c r="X19" s="41">
        <v>2.0</v>
      </c>
      <c r="Y19" s="41">
        <v>2.0</v>
      </c>
      <c r="Z19" s="41">
        <v>2.0</v>
      </c>
      <c r="AA19" s="41">
        <v>2.0</v>
      </c>
      <c r="AB19" s="39"/>
      <c r="AC19" s="40"/>
      <c r="AD19" s="40"/>
      <c r="AE19" s="39"/>
      <c r="AF19" s="39"/>
      <c r="AG19" s="39"/>
      <c r="AH19" s="39"/>
      <c r="AI19" s="39"/>
      <c r="AJ19" s="40"/>
      <c r="AK19" s="40"/>
      <c r="AL19" s="39"/>
      <c r="AM19" s="39"/>
      <c r="AN19" s="39"/>
      <c r="AO19" s="39"/>
      <c r="AP19" s="39"/>
      <c r="AQ19" s="40"/>
      <c r="AR19" s="40"/>
      <c r="AS19" s="39"/>
      <c r="AT19" s="39"/>
      <c r="AU19" s="39"/>
      <c r="AV19" s="39"/>
      <c r="AW19" s="39"/>
      <c r="AX19" s="40"/>
      <c r="AY19" s="40"/>
      <c r="AZ19" s="39"/>
      <c r="BA19" s="39"/>
      <c r="BB19" s="39"/>
      <c r="BC19" s="39"/>
      <c r="BD19" s="39"/>
      <c r="BE19" s="40"/>
      <c r="BF19" s="40"/>
      <c r="BG19" s="39"/>
      <c r="BH19" s="39"/>
      <c r="BI19" s="39"/>
      <c r="BJ19" s="39"/>
      <c r="BK19" s="39"/>
      <c r="BL19" s="40"/>
      <c r="BM19" s="40"/>
      <c r="BN19" s="39"/>
      <c r="BO19" s="39"/>
    </row>
    <row r="20">
      <c r="A20" s="1"/>
      <c r="B20" s="33" t="s">
        <v>66</v>
      </c>
      <c r="C20" s="33" t="s">
        <v>67</v>
      </c>
      <c r="D20" s="43" t="s">
        <v>68</v>
      </c>
      <c r="E20" s="42" t="s">
        <v>69</v>
      </c>
      <c r="F20" s="36">
        <v>46255.0</v>
      </c>
      <c r="G20" s="36">
        <v>46261.0</v>
      </c>
      <c r="H20" s="37">
        <f t="shared" si="1"/>
        <v>7</v>
      </c>
      <c r="I20" s="38">
        <f t="shared" si="2"/>
        <v>1</v>
      </c>
      <c r="J20" s="41"/>
      <c r="K20" s="41"/>
      <c r="L20" s="41"/>
      <c r="M20" s="41"/>
      <c r="N20" s="41"/>
      <c r="O20" s="44"/>
      <c r="P20" s="44"/>
      <c r="Q20" s="39"/>
      <c r="R20" s="39"/>
      <c r="S20" s="39"/>
      <c r="T20" s="39"/>
      <c r="U20" s="44">
        <v>2.0</v>
      </c>
      <c r="V20" s="44">
        <v>2.0</v>
      </c>
      <c r="W20" s="44">
        <v>2.0</v>
      </c>
      <c r="X20" s="44">
        <v>2.0</v>
      </c>
      <c r="Y20" s="44">
        <v>2.0</v>
      </c>
      <c r="Z20" s="44">
        <v>2.0</v>
      </c>
      <c r="AA20" s="44">
        <v>2.0</v>
      </c>
      <c r="AB20" s="39"/>
      <c r="AC20" s="40"/>
      <c r="AD20" s="40"/>
      <c r="AE20" s="39"/>
      <c r="AF20" s="39"/>
      <c r="AG20" s="39"/>
      <c r="AH20" s="39"/>
      <c r="AI20" s="39"/>
      <c r="AJ20" s="40"/>
      <c r="AK20" s="40"/>
      <c r="AL20" s="39"/>
      <c r="AM20" s="39"/>
      <c r="AN20" s="39"/>
      <c r="AO20" s="39"/>
      <c r="AP20" s="39"/>
      <c r="AQ20" s="40"/>
      <c r="AR20" s="40"/>
      <c r="AS20" s="39"/>
      <c r="AT20" s="39"/>
      <c r="AU20" s="39"/>
      <c r="AV20" s="39"/>
      <c r="AW20" s="39"/>
      <c r="AX20" s="40"/>
      <c r="AY20" s="40"/>
      <c r="AZ20" s="39"/>
      <c r="BA20" s="39"/>
      <c r="BB20" s="39"/>
      <c r="BC20" s="39"/>
      <c r="BD20" s="39"/>
      <c r="BE20" s="40"/>
      <c r="BF20" s="40"/>
      <c r="BG20" s="39"/>
      <c r="BH20" s="39"/>
      <c r="BI20" s="39"/>
      <c r="BJ20" s="39"/>
      <c r="BK20" s="39"/>
      <c r="BL20" s="40"/>
      <c r="BM20" s="40"/>
      <c r="BN20" s="39"/>
      <c r="BO20" s="39"/>
    </row>
    <row r="21">
      <c r="A21" s="1"/>
      <c r="B21" s="33" t="s">
        <v>70</v>
      </c>
      <c r="C21" s="33" t="s">
        <v>71</v>
      </c>
      <c r="D21" s="43" t="s">
        <v>72</v>
      </c>
      <c r="E21" s="42" t="s">
        <v>73</v>
      </c>
      <c r="F21" s="36">
        <v>46255.0</v>
      </c>
      <c r="G21" s="36">
        <v>46262.0</v>
      </c>
      <c r="H21" s="37">
        <f t="shared" si="1"/>
        <v>8</v>
      </c>
      <c r="I21" s="38">
        <f t="shared" si="2"/>
        <v>1</v>
      </c>
      <c r="J21" s="39"/>
      <c r="K21" s="39"/>
      <c r="L21" s="39"/>
      <c r="M21" s="39"/>
      <c r="N21" s="39"/>
      <c r="O21" s="40"/>
      <c r="P21" s="40"/>
      <c r="Q21" s="39"/>
      <c r="R21" s="39"/>
      <c r="S21" s="39"/>
      <c r="T21" s="41"/>
      <c r="U21" s="41">
        <v>2.0</v>
      </c>
      <c r="V21" s="41">
        <v>2.0</v>
      </c>
      <c r="W21" s="41">
        <v>2.0</v>
      </c>
      <c r="X21" s="41">
        <v>2.0</v>
      </c>
      <c r="Y21" s="41">
        <v>2.0</v>
      </c>
      <c r="Z21" s="41">
        <v>2.0</v>
      </c>
      <c r="AA21" s="41">
        <v>2.0</v>
      </c>
      <c r="AB21" s="41">
        <v>2.0</v>
      </c>
      <c r="AC21" s="40"/>
      <c r="AD21" s="40"/>
      <c r="AE21" s="39"/>
      <c r="AF21" s="39"/>
      <c r="AG21" s="39"/>
      <c r="AH21" s="39"/>
      <c r="AI21" s="39"/>
      <c r="AJ21" s="40"/>
      <c r="AK21" s="40"/>
      <c r="AL21" s="39"/>
      <c r="AM21" s="39"/>
      <c r="AN21" s="39"/>
      <c r="AO21" s="39"/>
      <c r="AP21" s="39"/>
      <c r="AQ21" s="40"/>
      <c r="AR21" s="40"/>
      <c r="AS21" s="39"/>
      <c r="AT21" s="39"/>
      <c r="AU21" s="39"/>
      <c r="AV21" s="39"/>
      <c r="AW21" s="39"/>
      <c r="AX21" s="40"/>
      <c r="AY21" s="40"/>
      <c r="AZ21" s="39"/>
      <c r="BA21" s="39"/>
      <c r="BB21" s="39"/>
      <c r="BC21" s="39"/>
      <c r="BD21" s="39"/>
      <c r="BE21" s="40"/>
      <c r="BF21" s="40"/>
      <c r="BG21" s="39"/>
      <c r="BH21" s="39"/>
      <c r="BI21" s="39"/>
      <c r="BJ21" s="39"/>
      <c r="BK21" s="39"/>
      <c r="BL21" s="40"/>
      <c r="BM21" s="40"/>
      <c r="BN21" s="39"/>
      <c r="BO21" s="39"/>
    </row>
    <row r="22">
      <c r="A22" s="1"/>
      <c r="B22" s="33" t="s">
        <v>74</v>
      </c>
      <c r="C22" s="33" t="s">
        <v>75</v>
      </c>
      <c r="D22" s="34" t="s">
        <v>76</v>
      </c>
      <c r="E22" s="35" t="s">
        <v>43</v>
      </c>
      <c r="F22" s="36">
        <v>46253.0</v>
      </c>
      <c r="G22" s="36">
        <v>46255.0</v>
      </c>
      <c r="H22" s="37">
        <f t="shared" si="1"/>
        <v>3</v>
      </c>
      <c r="I22" s="38">
        <f t="shared" si="2"/>
        <v>1</v>
      </c>
      <c r="J22" s="41"/>
      <c r="K22" s="39"/>
      <c r="L22" s="39"/>
      <c r="M22" s="39"/>
      <c r="N22" s="39"/>
      <c r="O22" s="40"/>
      <c r="P22" s="40"/>
      <c r="Q22" s="39"/>
      <c r="R22" s="39"/>
      <c r="S22" s="41">
        <v>2.0</v>
      </c>
      <c r="T22" s="41">
        <v>2.0</v>
      </c>
      <c r="U22" s="41">
        <v>2.0</v>
      </c>
      <c r="V22" s="40"/>
      <c r="W22" s="40"/>
      <c r="X22" s="39"/>
      <c r="Y22" s="39"/>
      <c r="Z22" s="39"/>
      <c r="AA22" s="39"/>
      <c r="AB22" s="39"/>
      <c r="AC22" s="40"/>
      <c r="AD22" s="40"/>
      <c r="AE22" s="39"/>
      <c r="AF22" s="39"/>
      <c r="AG22" s="39"/>
      <c r="AH22" s="39"/>
      <c r="AI22" s="39"/>
      <c r="AJ22" s="40"/>
      <c r="AK22" s="40"/>
      <c r="AL22" s="39"/>
      <c r="AM22" s="39"/>
      <c r="AN22" s="39"/>
      <c r="AO22" s="39"/>
      <c r="AP22" s="39"/>
      <c r="AQ22" s="40"/>
      <c r="AR22" s="40"/>
      <c r="AS22" s="39"/>
      <c r="AT22" s="39"/>
      <c r="AU22" s="39"/>
      <c r="AV22" s="39"/>
      <c r="AW22" s="39"/>
      <c r="AX22" s="40"/>
      <c r="AY22" s="40"/>
      <c r="AZ22" s="39"/>
      <c r="BA22" s="39"/>
      <c r="BB22" s="39"/>
      <c r="BC22" s="39"/>
      <c r="BD22" s="39"/>
      <c r="BE22" s="40"/>
      <c r="BF22" s="40"/>
      <c r="BG22" s="39"/>
      <c r="BH22" s="39"/>
      <c r="BI22" s="39"/>
      <c r="BJ22" s="39"/>
      <c r="BK22" s="39"/>
      <c r="BL22" s="40"/>
      <c r="BM22" s="40"/>
      <c r="BN22" s="39"/>
      <c r="BO22" s="39"/>
    </row>
    <row r="23">
      <c r="A23" s="1"/>
      <c r="B23" s="33" t="s">
        <v>77</v>
      </c>
      <c r="C23" s="33" t="s">
        <v>78</v>
      </c>
      <c r="D23" s="43" t="s">
        <v>79</v>
      </c>
      <c r="E23" s="42" t="s">
        <v>43</v>
      </c>
      <c r="F23" s="36">
        <v>46258.0</v>
      </c>
      <c r="G23" s="36">
        <v>46261.0</v>
      </c>
      <c r="H23" s="37">
        <f t="shared" si="1"/>
        <v>4</v>
      </c>
      <c r="I23" s="38">
        <f t="shared" si="2"/>
        <v>1</v>
      </c>
      <c r="J23" s="39"/>
      <c r="K23" s="39"/>
      <c r="L23" s="39"/>
      <c r="M23" s="39"/>
      <c r="N23" s="39"/>
      <c r="O23" s="40"/>
      <c r="P23" s="40"/>
      <c r="Q23" s="39"/>
      <c r="R23" s="39"/>
      <c r="S23" s="39"/>
      <c r="T23" s="39"/>
      <c r="U23" s="39"/>
      <c r="V23" s="40"/>
      <c r="W23" s="40"/>
      <c r="X23" s="41">
        <v>2.0</v>
      </c>
      <c r="Y23" s="41">
        <v>2.0</v>
      </c>
      <c r="Z23" s="41">
        <v>2.0</v>
      </c>
      <c r="AA23" s="41">
        <v>2.0</v>
      </c>
      <c r="AB23" s="39"/>
      <c r="AC23" s="40"/>
      <c r="AD23" s="40"/>
      <c r="AE23" s="39"/>
      <c r="AF23" s="39"/>
      <c r="AG23" s="39"/>
      <c r="AH23" s="39"/>
      <c r="AI23" s="39"/>
      <c r="AJ23" s="40"/>
      <c r="AK23" s="40"/>
      <c r="AL23" s="39"/>
      <c r="AM23" s="39"/>
      <c r="AN23" s="39"/>
      <c r="AO23" s="39"/>
      <c r="AP23" s="39"/>
      <c r="AQ23" s="40"/>
      <c r="AR23" s="40"/>
      <c r="AS23" s="39"/>
      <c r="AT23" s="39"/>
      <c r="AU23" s="39"/>
      <c r="AV23" s="39"/>
      <c r="AW23" s="39"/>
      <c r="AX23" s="40"/>
      <c r="AY23" s="40"/>
      <c r="AZ23" s="39"/>
      <c r="BA23" s="39"/>
      <c r="BB23" s="39"/>
      <c r="BC23" s="39"/>
      <c r="BD23" s="39"/>
      <c r="BE23" s="40"/>
      <c r="BF23" s="40"/>
      <c r="BG23" s="39"/>
      <c r="BH23" s="39"/>
      <c r="BI23" s="39"/>
      <c r="BJ23" s="39"/>
      <c r="BK23" s="39"/>
      <c r="BL23" s="40"/>
      <c r="BM23" s="40"/>
      <c r="BN23" s="39"/>
      <c r="BO23" s="39"/>
    </row>
    <row r="24">
      <c r="A24" s="1"/>
      <c r="B24" s="28" t="s">
        <v>80</v>
      </c>
      <c r="C24" s="28" t="s">
        <v>81</v>
      </c>
      <c r="D24" s="29"/>
      <c r="E24" s="29"/>
      <c r="F24" s="30">
        <f>MIN(F25:F33)</f>
        <v>46258</v>
      </c>
      <c r="G24" s="30">
        <f>MAX(G25:G33)</f>
        <v>46275</v>
      </c>
      <c r="H24" s="31">
        <f>G24-F24+1</f>
        <v>18</v>
      </c>
      <c r="I24" s="32">
        <f>IFERROR(COUNTIF($J$25:$BO$33,2)/(COUNTIF($J$25:$BO$33,1)+COUNTIF($J$25:$BO$33,2)),0)</f>
        <v>0.1379310345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</row>
    <row r="25">
      <c r="A25" s="1"/>
      <c r="B25" s="33" t="s">
        <v>82</v>
      </c>
      <c r="C25" s="33" t="s">
        <v>83</v>
      </c>
      <c r="D25" s="34" t="s">
        <v>84</v>
      </c>
      <c r="E25" s="42" t="s">
        <v>85</v>
      </c>
      <c r="F25" s="36">
        <v>46258.0</v>
      </c>
      <c r="G25" s="36">
        <v>46260.0</v>
      </c>
      <c r="H25" s="37">
        <f t="shared" ref="H25:H33" si="3">IF(OR($F25="",$G25=""),"",$G25-$F25+1)</f>
        <v>3</v>
      </c>
      <c r="I25" s="38">
        <f t="shared" ref="I25:I33" si="4">IFERROR(COUNTIF($J25:$BO25,2)/(COUNTIF($J25:$BO25,1)+COUNTIF($J25:$BO25,2)),0)</f>
        <v>1</v>
      </c>
      <c r="J25" s="39"/>
      <c r="K25" s="39"/>
      <c r="L25" s="39"/>
      <c r="M25" s="39"/>
      <c r="N25" s="39"/>
      <c r="O25" s="40"/>
      <c r="P25" s="40"/>
      <c r="Q25" s="39"/>
      <c r="R25" s="39"/>
      <c r="S25" s="39"/>
      <c r="T25" s="39"/>
      <c r="U25" s="39"/>
      <c r="V25" s="40"/>
      <c r="W25" s="40"/>
      <c r="X25" s="41">
        <v>2.0</v>
      </c>
      <c r="Y25" s="39"/>
      <c r="Z25" s="39"/>
      <c r="AA25" s="39"/>
      <c r="AB25" s="39"/>
      <c r="AC25" s="40"/>
      <c r="AD25" s="40"/>
      <c r="AE25" s="39"/>
      <c r="AF25" s="39"/>
      <c r="AG25" s="39"/>
      <c r="AH25" s="39"/>
      <c r="AI25" s="39"/>
      <c r="AJ25" s="40"/>
      <c r="AK25" s="40"/>
      <c r="AL25" s="39"/>
      <c r="AM25" s="39"/>
      <c r="AN25" s="39"/>
      <c r="AO25" s="39"/>
      <c r="AP25" s="39"/>
      <c r="AQ25" s="40"/>
      <c r="AR25" s="40"/>
      <c r="AS25" s="39"/>
      <c r="AT25" s="39"/>
      <c r="AU25" s="39"/>
      <c r="AV25" s="39"/>
      <c r="AW25" s="39"/>
      <c r="AX25" s="40"/>
      <c r="AY25" s="40"/>
      <c r="AZ25" s="39"/>
      <c r="BA25" s="39"/>
      <c r="BB25" s="39"/>
      <c r="BC25" s="39"/>
      <c r="BD25" s="39"/>
      <c r="BE25" s="40"/>
      <c r="BF25" s="40"/>
      <c r="BG25" s="39"/>
      <c r="BH25" s="39"/>
      <c r="BI25" s="39"/>
      <c r="BJ25" s="39"/>
      <c r="BK25" s="39"/>
      <c r="BL25" s="40"/>
      <c r="BM25" s="40"/>
      <c r="BN25" s="39"/>
      <c r="BO25" s="39"/>
    </row>
    <row r="26">
      <c r="A26" s="1"/>
      <c r="B26" s="33" t="s">
        <v>86</v>
      </c>
      <c r="C26" s="33" t="s">
        <v>87</v>
      </c>
      <c r="D26" s="34" t="s">
        <v>88</v>
      </c>
      <c r="E26" s="42" t="s">
        <v>85</v>
      </c>
      <c r="F26" s="36">
        <v>46258.0</v>
      </c>
      <c r="G26" s="36">
        <v>46262.0</v>
      </c>
      <c r="H26" s="37">
        <f t="shared" si="3"/>
        <v>5</v>
      </c>
      <c r="I26" s="38">
        <f t="shared" si="4"/>
        <v>1</v>
      </c>
      <c r="J26" s="39"/>
      <c r="K26" s="39"/>
      <c r="L26" s="39"/>
      <c r="M26" s="39"/>
      <c r="N26" s="39"/>
      <c r="O26" s="40"/>
      <c r="P26" s="40"/>
      <c r="Q26" s="39"/>
      <c r="R26" s="39"/>
      <c r="S26" s="39"/>
      <c r="T26" s="39"/>
      <c r="U26" s="39"/>
      <c r="V26" s="40"/>
      <c r="W26" s="40"/>
      <c r="X26" s="41">
        <v>2.0</v>
      </c>
      <c r="Y26" s="39"/>
      <c r="Z26" s="39"/>
      <c r="AA26" s="39"/>
      <c r="AB26" s="39"/>
      <c r="AC26" s="40"/>
      <c r="AD26" s="40"/>
      <c r="AE26" s="39"/>
      <c r="AF26" s="39"/>
      <c r="AG26" s="39"/>
      <c r="AH26" s="39"/>
      <c r="AI26" s="39"/>
      <c r="AJ26" s="40"/>
      <c r="AK26" s="40"/>
      <c r="AL26" s="39"/>
      <c r="AM26" s="39"/>
      <c r="AN26" s="39"/>
      <c r="AO26" s="39"/>
      <c r="AP26" s="39"/>
      <c r="AQ26" s="40"/>
      <c r="AR26" s="40"/>
      <c r="AS26" s="39"/>
      <c r="AT26" s="39"/>
      <c r="AU26" s="39"/>
      <c r="AV26" s="39"/>
      <c r="AW26" s="39"/>
      <c r="AX26" s="40"/>
      <c r="AY26" s="40"/>
      <c r="AZ26" s="39"/>
      <c r="BA26" s="39"/>
      <c r="BB26" s="39"/>
      <c r="BC26" s="39"/>
      <c r="BD26" s="39"/>
      <c r="BE26" s="40"/>
      <c r="BF26" s="40"/>
      <c r="BG26" s="39"/>
      <c r="BH26" s="39"/>
      <c r="BI26" s="39"/>
      <c r="BJ26" s="39"/>
      <c r="BK26" s="39"/>
      <c r="BL26" s="40"/>
      <c r="BM26" s="40"/>
      <c r="BN26" s="39"/>
      <c r="BO26" s="39"/>
    </row>
    <row r="27">
      <c r="A27" s="1"/>
      <c r="B27" s="33" t="s">
        <v>89</v>
      </c>
      <c r="C27" s="33" t="s">
        <v>90</v>
      </c>
      <c r="D27" s="43" t="s">
        <v>91</v>
      </c>
      <c r="E27" s="42" t="s">
        <v>85</v>
      </c>
      <c r="F27" s="36">
        <v>46260.0</v>
      </c>
      <c r="G27" s="36">
        <v>46267.0</v>
      </c>
      <c r="H27" s="37">
        <f t="shared" si="3"/>
        <v>8</v>
      </c>
      <c r="I27" s="38">
        <f t="shared" si="4"/>
        <v>1</v>
      </c>
      <c r="J27" s="39"/>
      <c r="K27" s="39"/>
      <c r="L27" s="39"/>
      <c r="M27" s="39"/>
      <c r="N27" s="39"/>
      <c r="O27" s="40"/>
      <c r="P27" s="40"/>
      <c r="Q27" s="39"/>
      <c r="R27" s="39"/>
      <c r="S27" s="39"/>
      <c r="T27" s="39"/>
      <c r="U27" s="39"/>
      <c r="V27" s="40"/>
      <c r="W27" s="40"/>
      <c r="X27" s="39"/>
      <c r="Y27" s="41">
        <v>2.0</v>
      </c>
      <c r="Z27" s="39"/>
      <c r="AA27" s="39"/>
      <c r="AB27" s="39"/>
      <c r="AC27" s="40"/>
      <c r="AD27" s="40"/>
      <c r="AE27" s="39"/>
      <c r="AF27" s="39"/>
      <c r="AG27" s="39"/>
      <c r="AH27" s="39"/>
      <c r="AI27" s="39"/>
      <c r="AJ27" s="40"/>
      <c r="AK27" s="40"/>
      <c r="AL27" s="39"/>
      <c r="AM27" s="39"/>
      <c r="AN27" s="39"/>
      <c r="AO27" s="39"/>
      <c r="AP27" s="39"/>
      <c r="AQ27" s="40"/>
      <c r="AR27" s="40"/>
      <c r="AS27" s="39"/>
      <c r="AT27" s="39"/>
      <c r="AU27" s="39"/>
      <c r="AV27" s="39"/>
      <c r="AW27" s="39"/>
      <c r="AX27" s="40"/>
      <c r="AY27" s="40"/>
      <c r="AZ27" s="39"/>
      <c r="BA27" s="39"/>
      <c r="BB27" s="39"/>
      <c r="BC27" s="39"/>
      <c r="BD27" s="39"/>
      <c r="BE27" s="40"/>
      <c r="BF27" s="40"/>
      <c r="BG27" s="39"/>
      <c r="BH27" s="39"/>
      <c r="BI27" s="39"/>
      <c r="BJ27" s="39"/>
      <c r="BK27" s="39"/>
      <c r="BL27" s="40"/>
      <c r="BM27" s="40"/>
      <c r="BN27" s="39"/>
      <c r="BO27" s="39"/>
    </row>
    <row r="28">
      <c r="A28" s="1"/>
      <c r="B28" s="33" t="s">
        <v>92</v>
      </c>
      <c r="C28" s="33" t="s">
        <v>93</v>
      </c>
      <c r="D28" s="43" t="s">
        <v>94</v>
      </c>
      <c r="E28" s="42" t="s">
        <v>85</v>
      </c>
      <c r="F28" s="36">
        <v>46260.0</v>
      </c>
      <c r="G28" s="36">
        <v>46267.0</v>
      </c>
      <c r="H28" s="37">
        <f t="shared" si="3"/>
        <v>8</v>
      </c>
      <c r="I28" s="38">
        <f t="shared" si="4"/>
        <v>1</v>
      </c>
      <c r="J28" s="39"/>
      <c r="K28" s="39"/>
      <c r="L28" s="39"/>
      <c r="M28" s="39"/>
      <c r="N28" s="39"/>
      <c r="O28" s="40"/>
      <c r="P28" s="40"/>
      <c r="Q28" s="39"/>
      <c r="R28" s="39"/>
      <c r="S28" s="39"/>
      <c r="T28" s="39"/>
      <c r="U28" s="39"/>
      <c r="V28" s="40"/>
      <c r="W28" s="40"/>
      <c r="X28" s="39"/>
      <c r="Y28" s="39"/>
      <c r="Z28" s="41">
        <v>2.0</v>
      </c>
      <c r="AA28" s="39"/>
      <c r="AB28" s="39"/>
      <c r="AC28" s="40"/>
      <c r="AD28" s="40"/>
      <c r="AE28" s="39"/>
      <c r="AF28" s="39"/>
      <c r="AG28" s="39"/>
      <c r="AH28" s="39"/>
      <c r="AI28" s="39"/>
      <c r="AJ28" s="40"/>
      <c r="AK28" s="40"/>
      <c r="AL28" s="39"/>
      <c r="AM28" s="39"/>
      <c r="AN28" s="39"/>
      <c r="AO28" s="39"/>
      <c r="AP28" s="39"/>
      <c r="AQ28" s="40"/>
      <c r="AR28" s="40"/>
      <c r="AS28" s="39"/>
      <c r="AT28" s="39"/>
      <c r="AU28" s="39"/>
      <c r="AV28" s="39"/>
      <c r="AW28" s="39"/>
      <c r="AX28" s="40"/>
      <c r="AY28" s="40"/>
      <c r="AZ28" s="39"/>
      <c r="BA28" s="39"/>
      <c r="BB28" s="39"/>
      <c r="BC28" s="39"/>
      <c r="BD28" s="39"/>
      <c r="BE28" s="40"/>
      <c r="BF28" s="40"/>
      <c r="BG28" s="39"/>
      <c r="BH28" s="39"/>
      <c r="BI28" s="39"/>
      <c r="BJ28" s="39"/>
      <c r="BK28" s="39"/>
      <c r="BL28" s="40"/>
      <c r="BM28" s="40"/>
      <c r="BN28" s="39"/>
      <c r="BO28" s="39"/>
    </row>
    <row r="29">
      <c r="A29" s="1"/>
      <c r="B29" s="33" t="s">
        <v>95</v>
      </c>
      <c r="C29" s="33" t="s">
        <v>96</v>
      </c>
      <c r="D29" s="43" t="s">
        <v>97</v>
      </c>
      <c r="E29" s="42" t="s">
        <v>85</v>
      </c>
      <c r="F29" s="36">
        <v>46266.0</v>
      </c>
      <c r="G29" s="36">
        <v>46268.0</v>
      </c>
      <c r="H29" s="37">
        <f t="shared" si="3"/>
        <v>3</v>
      </c>
      <c r="I29" s="38">
        <f t="shared" si="4"/>
        <v>0</v>
      </c>
      <c r="J29" s="39"/>
      <c r="K29" s="39"/>
      <c r="L29" s="39"/>
      <c r="M29" s="39"/>
      <c r="N29" s="39"/>
      <c r="O29" s="40"/>
      <c r="P29" s="40"/>
      <c r="Q29" s="39"/>
      <c r="R29" s="39"/>
      <c r="S29" s="39"/>
      <c r="T29" s="39"/>
      <c r="U29" s="39"/>
      <c r="V29" s="40"/>
      <c r="W29" s="40"/>
      <c r="X29" s="39"/>
      <c r="Y29" s="39"/>
      <c r="Z29" s="39"/>
      <c r="AA29" s="39"/>
      <c r="AB29" s="39"/>
      <c r="AC29" s="40"/>
      <c r="AD29" s="40"/>
      <c r="AE29" s="41">
        <v>1.0</v>
      </c>
      <c r="AF29" s="41">
        <v>1.0</v>
      </c>
      <c r="AG29" s="41">
        <v>1.0</v>
      </c>
      <c r="AH29" s="41">
        <v>1.0</v>
      </c>
      <c r="AI29" s="39"/>
      <c r="AJ29" s="40"/>
      <c r="AK29" s="40"/>
      <c r="AL29" s="39"/>
      <c r="AM29" s="39"/>
      <c r="AN29" s="39"/>
      <c r="AO29" s="39"/>
      <c r="AP29" s="39"/>
      <c r="AQ29" s="40"/>
      <c r="AR29" s="40"/>
      <c r="AS29" s="39"/>
      <c r="AT29" s="39"/>
      <c r="AU29" s="39"/>
      <c r="AV29" s="39"/>
      <c r="AW29" s="39"/>
      <c r="AX29" s="40"/>
      <c r="AY29" s="40"/>
      <c r="AZ29" s="39"/>
      <c r="BA29" s="39"/>
      <c r="BB29" s="39"/>
      <c r="BC29" s="39"/>
      <c r="BD29" s="39"/>
      <c r="BE29" s="40"/>
      <c r="BF29" s="40"/>
      <c r="BG29" s="39"/>
      <c r="BH29" s="39"/>
      <c r="BI29" s="39"/>
      <c r="BJ29" s="39"/>
      <c r="BK29" s="39"/>
      <c r="BL29" s="40"/>
      <c r="BM29" s="40"/>
      <c r="BN29" s="39"/>
      <c r="BO29" s="39"/>
    </row>
    <row r="30">
      <c r="A30" s="1"/>
      <c r="B30" s="33" t="s">
        <v>98</v>
      </c>
      <c r="C30" s="33" t="s">
        <v>99</v>
      </c>
      <c r="D30" s="43" t="s">
        <v>100</v>
      </c>
      <c r="E30" s="42" t="s">
        <v>85</v>
      </c>
      <c r="F30" s="36">
        <v>46266.0</v>
      </c>
      <c r="G30" s="36">
        <v>46268.0</v>
      </c>
      <c r="H30" s="37">
        <f t="shared" si="3"/>
        <v>3</v>
      </c>
      <c r="I30" s="38">
        <f t="shared" si="4"/>
        <v>0</v>
      </c>
      <c r="J30" s="39"/>
      <c r="K30" s="39"/>
      <c r="L30" s="39"/>
      <c r="M30" s="39"/>
      <c r="N30" s="39"/>
      <c r="O30" s="40"/>
      <c r="P30" s="40"/>
      <c r="Q30" s="39"/>
      <c r="R30" s="39"/>
      <c r="S30" s="39"/>
      <c r="T30" s="39"/>
      <c r="U30" s="39"/>
      <c r="V30" s="40"/>
      <c r="W30" s="40"/>
      <c r="X30" s="39"/>
      <c r="Y30" s="39"/>
      <c r="Z30" s="39"/>
      <c r="AA30" s="39"/>
      <c r="AB30" s="39"/>
      <c r="AC30" s="40"/>
      <c r="AD30" s="40"/>
      <c r="AE30" s="41">
        <v>1.0</v>
      </c>
      <c r="AF30" s="41">
        <v>1.0</v>
      </c>
      <c r="AG30" s="41">
        <v>1.0</v>
      </c>
      <c r="AH30" s="41">
        <v>1.0</v>
      </c>
      <c r="AI30" s="39"/>
      <c r="AJ30" s="40"/>
      <c r="AK30" s="40"/>
      <c r="AL30" s="39"/>
      <c r="AM30" s="39"/>
      <c r="AN30" s="39"/>
      <c r="AO30" s="39"/>
      <c r="AP30" s="39"/>
      <c r="AQ30" s="40"/>
      <c r="AR30" s="40"/>
      <c r="AS30" s="39"/>
      <c r="AT30" s="39"/>
      <c r="AU30" s="39"/>
      <c r="AV30" s="39"/>
      <c r="AW30" s="39"/>
      <c r="AX30" s="40"/>
      <c r="AY30" s="40"/>
      <c r="AZ30" s="39"/>
      <c r="BA30" s="39"/>
      <c r="BB30" s="39"/>
      <c r="BC30" s="39"/>
      <c r="BD30" s="39"/>
      <c r="BE30" s="40"/>
      <c r="BF30" s="40"/>
      <c r="BG30" s="39"/>
      <c r="BH30" s="39"/>
      <c r="BI30" s="39"/>
      <c r="BJ30" s="39"/>
      <c r="BK30" s="39"/>
      <c r="BL30" s="40"/>
      <c r="BM30" s="40"/>
      <c r="BN30" s="39"/>
      <c r="BO30" s="39"/>
    </row>
    <row r="31">
      <c r="A31" s="1"/>
      <c r="B31" s="33" t="s">
        <v>101</v>
      </c>
      <c r="C31" s="33" t="s">
        <v>102</v>
      </c>
      <c r="D31" s="34" t="s">
        <v>103</v>
      </c>
      <c r="E31" s="42" t="s">
        <v>85</v>
      </c>
      <c r="F31" s="36">
        <v>46269.0</v>
      </c>
      <c r="G31" s="36">
        <v>46275.0</v>
      </c>
      <c r="H31" s="37">
        <f t="shared" si="3"/>
        <v>7</v>
      </c>
      <c r="I31" s="38">
        <f t="shared" si="4"/>
        <v>0</v>
      </c>
      <c r="J31" s="39"/>
      <c r="K31" s="39"/>
      <c r="L31" s="39"/>
      <c r="M31" s="39"/>
      <c r="N31" s="39"/>
      <c r="O31" s="40"/>
      <c r="P31" s="40"/>
      <c r="Q31" s="39"/>
      <c r="R31" s="39"/>
      <c r="S31" s="39"/>
      <c r="T31" s="39"/>
      <c r="U31" s="39"/>
      <c r="V31" s="40"/>
      <c r="W31" s="40"/>
      <c r="X31" s="39"/>
      <c r="Y31" s="39"/>
      <c r="Z31" s="39"/>
      <c r="AA31" s="39"/>
      <c r="AB31" s="39"/>
      <c r="AC31" s="40"/>
      <c r="AD31" s="40"/>
      <c r="AE31" s="39"/>
      <c r="AF31" s="39"/>
      <c r="AG31" s="39"/>
      <c r="AH31" s="39"/>
      <c r="AI31" s="41">
        <v>1.0</v>
      </c>
      <c r="AJ31" s="41">
        <v>1.0</v>
      </c>
      <c r="AK31" s="41">
        <v>1.0</v>
      </c>
      <c r="AL31" s="41">
        <v>1.0</v>
      </c>
      <c r="AM31" s="41">
        <v>1.0</v>
      </c>
      <c r="AN31" s="41">
        <v>1.0</v>
      </c>
      <c r="AO31" s="41">
        <v>1.0</v>
      </c>
      <c r="AP31" s="39"/>
      <c r="AQ31" s="40"/>
      <c r="AR31" s="40"/>
      <c r="AS31" s="39"/>
      <c r="AT31" s="39"/>
      <c r="AU31" s="39"/>
      <c r="AV31" s="39"/>
      <c r="AW31" s="39"/>
      <c r="AX31" s="40"/>
      <c r="AY31" s="40"/>
      <c r="AZ31" s="39"/>
      <c r="BA31" s="39"/>
      <c r="BB31" s="39"/>
      <c r="BC31" s="39"/>
      <c r="BD31" s="39"/>
      <c r="BE31" s="40"/>
      <c r="BF31" s="40"/>
      <c r="BG31" s="39"/>
      <c r="BH31" s="39"/>
      <c r="BI31" s="39"/>
      <c r="BJ31" s="39"/>
      <c r="BK31" s="39"/>
      <c r="BL31" s="40"/>
      <c r="BM31" s="40"/>
      <c r="BN31" s="39"/>
      <c r="BO31" s="39"/>
    </row>
    <row r="32">
      <c r="A32" s="1"/>
      <c r="B32" s="33" t="s">
        <v>104</v>
      </c>
      <c r="C32" s="33" t="s">
        <v>105</v>
      </c>
      <c r="D32" s="43" t="s">
        <v>106</v>
      </c>
      <c r="E32" s="42" t="s">
        <v>85</v>
      </c>
      <c r="F32" s="36">
        <v>46269.0</v>
      </c>
      <c r="G32" s="36">
        <v>46274.0</v>
      </c>
      <c r="H32" s="37">
        <f t="shared" si="3"/>
        <v>6</v>
      </c>
      <c r="I32" s="38">
        <f t="shared" si="4"/>
        <v>0</v>
      </c>
      <c r="J32" s="39"/>
      <c r="K32" s="39"/>
      <c r="L32" s="39"/>
      <c r="M32" s="39"/>
      <c r="N32" s="39"/>
      <c r="O32" s="40"/>
      <c r="P32" s="40"/>
      <c r="Q32" s="39"/>
      <c r="R32" s="39"/>
      <c r="S32" s="39"/>
      <c r="T32" s="39"/>
      <c r="U32" s="39"/>
      <c r="V32" s="40"/>
      <c r="W32" s="40"/>
      <c r="X32" s="39"/>
      <c r="Y32" s="39"/>
      <c r="Z32" s="39"/>
      <c r="AA32" s="39"/>
      <c r="AB32" s="39"/>
      <c r="AC32" s="40"/>
      <c r="AD32" s="40"/>
      <c r="AE32" s="39"/>
      <c r="AF32" s="39"/>
      <c r="AG32" s="39"/>
      <c r="AH32" s="39"/>
      <c r="AI32" s="41">
        <v>1.0</v>
      </c>
      <c r="AJ32" s="41">
        <v>1.0</v>
      </c>
      <c r="AK32" s="41">
        <v>1.0</v>
      </c>
      <c r="AL32" s="41">
        <v>1.0</v>
      </c>
      <c r="AM32" s="41">
        <v>1.0</v>
      </c>
      <c r="AN32" s="41">
        <v>1.0</v>
      </c>
      <c r="AO32" s="39"/>
      <c r="AP32" s="39"/>
      <c r="AQ32" s="40"/>
      <c r="AR32" s="40"/>
      <c r="AS32" s="39"/>
      <c r="AT32" s="39"/>
      <c r="AU32" s="39"/>
      <c r="AV32" s="39"/>
      <c r="AW32" s="39"/>
      <c r="AX32" s="40"/>
      <c r="AY32" s="40"/>
      <c r="AZ32" s="39"/>
      <c r="BA32" s="39"/>
      <c r="BB32" s="39"/>
      <c r="BC32" s="39"/>
      <c r="BD32" s="39"/>
      <c r="BE32" s="40"/>
      <c r="BF32" s="40"/>
      <c r="BG32" s="39"/>
      <c r="BH32" s="39"/>
      <c r="BI32" s="39"/>
      <c r="BJ32" s="39"/>
      <c r="BK32" s="39"/>
      <c r="BL32" s="40"/>
      <c r="BM32" s="40"/>
      <c r="BN32" s="39"/>
      <c r="BO32" s="39"/>
    </row>
    <row r="33">
      <c r="A33" s="1"/>
      <c r="B33" s="33" t="s">
        <v>107</v>
      </c>
      <c r="C33" s="33" t="s">
        <v>108</v>
      </c>
      <c r="D33" s="43" t="s">
        <v>109</v>
      </c>
      <c r="E33" s="42" t="s">
        <v>85</v>
      </c>
      <c r="F33" s="36">
        <v>46272.0</v>
      </c>
      <c r="G33" s="36">
        <v>46275.0</v>
      </c>
      <c r="H33" s="37">
        <f t="shared" si="3"/>
        <v>4</v>
      </c>
      <c r="I33" s="38">
        <f t="shared" si="4"/>
        <v>0</v>
      </c>
      <c r="J33" s="39"/>
      <c r="K33" s="39"/>
      <c r="L33" s="39"/>
      <c r="M33" s="39"/>
      <c r="N33" s="39"/>
      <c r="O33" s="40"/>
      <c r="P33" s="40"/>
      <c r="Q33" s="39"/>
      <c r="R33" s="39"/>
      <c r="S33" s="39"/>
      <c r="T33" s="39"/>
      <c r="U33" s="39"/>
      <c r="V33" s="40"/>
      <c r="W33" s="40"/>
      <c r="X33" s="39"/>
      <c r="Y33" s="39"/>
      <c r="Z33" s="39"/>
      <c r="AA33" s="39"/>
      <c r="AB33" s="39"/>
      <c r="AC33" s="40"/>
      <c r="AD33" s="40"/>
      <c r="AE33" s="39"/>
      <c r="AF33" s="39"/>
      <c r="AG33" s="39"/>
      <c r="AH33" s="39"/>
      <c r="AI33" s="39"/>
      <c r="AJ33" s="40"/>
      <c r="AK33" s="40"/>
      <c r="AL33" s="41">
        <v>1.0</v>
      </c>
      <c r="AM33" s="41">
        <v>1.0</v>
      </c>
      <c r="AN33" s="41">
        <v>1.0</v>
      </c>
      <c r="AO33" s="41">
        <v>1.0</v>
      </c>
      <c r="AP33" s="39"/>
      <c r="AQ33" s="40"/>
      <c r="AR33" s="40"/>
      <c r="AS33" s="39"/>
      <c r="AT33" s="39"/>
      <c r="AU33" s="39"/>
      <c r="AV33" s="39"/>
      <c r="AW33" s="39"/>
      <c r="AX33" s="40"/>
      <c r="AY33" s="40"/>
      <c r="AZ33" s="39"/>
      <c r="BA33" s="39"/>
      <c r="BB33" s="39"/>
      <c r="BC33" s="39"/>
      <c r="BD33" s="39"/>
      <c r="BE33" s="40"/>
      <c r="BF33" s="40"/>
      <c r="BG33" s="39"/>
      <c r="BH33" s="39"/>
      <c r="BI33" s="39"/>
      <c r="BJ33" s="39"/>
      <c r="BK33" s="39"/>
      <c r="BL33" s="40"/>
      <c r="BM33" s="40"/>
      <c r="BN33" s="39"/>
      <c r="BO33" s="39"/>
    </row>
    <row r="34">
      <c r="A34" s="1"/>
      <c r="B34" s="28" t="s">
        <v>110</v>
      </c>
      <c r="C34" s="28" t="s">
        <v>111</v>
      </c>
      <c r="D34" s="29"/>
      <c r="E34" s="29"/>
      <c r="F34" s="30">
        <f>MIN(F35:F36)</f>
        <v>46254</v>
      </c>
      <c r="G34" s="30">
        <f>MAX(G35:G36)</f>
        <v>46266</v>
      </c>
      <c r="H34" s="31">
        <f>G34-F34+1</f>
        <v>13</v>
      </c>
      <c r="I34" s="32">
        <f>IFERROR(COUNTIF($J$35:$BO$36,2)/(COUNTIF($J$35:$BO$36,1)+COUNTIF($J$35:$BO$36,2)),0)</f>
        <v>1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</row>
    <row r="35">
      <c r="A35" s="1"/>
      <c r="B35" s="33" t="s">
        <v>112</v>
      </c>
      <c r="C35" s="33" t="s">
        <v>113</v>
      </c>
      <c r="D35" s="43" t="s">
        <v>114</v>
      </c>
      <c r="E35" s="42" t="s">
        <v>43</v>
      </c>
      <c r="F35" s="36">
        <v>46254.0</v>
      </c>
      <c r="G35" s="36">
        <v>46260.0</v>
      </c>
      <c r="H35" s="37">
        <f t="shared" ref="H35:H36" si="5">IF(OR($F35="",$G35=""),"",$G35-$F35+1)</f>
        <v>7</v>
      </c>
      <c r="I35" s="38">
        <f t="shared" ref="I35:I36" si="6">IFERROR(COUNTIF($J35:$BO35,2)/(COUNTIF($J35:$BO35,1)+COUNTIF($J35:$BO35,2)),0)</f>
        <v>1</v>
      </c>
      <c r="J35" s="39"/>
      <c r="K35" s="39"/>
      <c r="L35" s="39"/>
      <c r="M35" s="39"/>
      <c r="N35" s="39"/>
      <c r="O35" s="40"/>
      <c r="P35" s="40"/>
      <c r="Q35" s="39"/>
      <c r="R35" s="39"/>
      <c r="S35" s="39"/>
      <c r="T35" s="41">
        <v>2.0</v>
      </c>
      <c r="U35" s="41">
        <v>2.0</v>
      </c>
      <c r="V35" s="41">
        <v>2.0</v>
      </c>
      <c r="W35" s="41">
        <v>2.0</v>
      </c>
      <c r="X35" s="41">
        <v>2.0</v>
      </c>
      <c r="Y35" s="41">
        <v>2.0</v>
      </c>
      <c r="Z35" s="41">
        <v>2.0</v>
      </c>
      <c r="AA35" s="39"/>
      <c r="AB35" s="39"/>
      <c r="AC35" s="40"/>
      <c r="AD35" s="40"/>
      <c r="AE35" s="39"/>
      <c r="AF35" s="39"/>
      <c r="AG35" s="39"/>
      <c r="AH35" s="39"/>
      <c r="AI35" s="39"/>
      <c r="AJ35" s="40"/>
      <c r="AK35" s="40"/>
      <c r="AL35" s="39"/>
      <c r="AM35" s="39"/>
      <c r="AN35" s="39"/>
      <c r="AO35" s="39"/>
      <c r="AP35" s="39"/>
      <c r="AQ35" s="40"/>
      <c r="AR35" s="40"/>
      <c r="AS35" s="39"/>
      <c r="AT35" s="39"/>
      <c r="AU35" s="39"/>
      <c r="AV35" s="39"/>
      <c r="AW35" s="39"/>
      <c r="AX35" s="40"/>
      <c r="AY35" s="40"/>
      <c r="AZ35" s="39"/>
      <c r="BA35" s="39"/>
      <c r="BB35" s="39"/>
      <c r="BC35" s="39"/>
      <c r="BD35" s="39"/>
      <c r="BE35" s="40"/>
      <c r="BF35" s="40"/>
      <c r="BG35" s="39"/>
      <c r="BH35" s="39"/>
      <c r="BI35" s="39"/>
      <c r="BJ35" s="39"/>
      <c r="BK35" s="39"/>
      <c r="BL35" s="40"/>
      <c r="BM35" s="40"/>
      <c r="BN35" s="39"/>
      <c r="BO35" s="39"/>
    </row>
    <row r="36">
      <c r="A36" s="1"/>
      <c r="B36" s="45">
        <v>3.2</v>
      </c>
      <c r="C36" s="33" t="s">
        <v>115</v>
      </c>
      <c r="D36" s="34" t="s">
        <v>116</v>
      </c>
      <c r="E36" s="42" t="s">
        <v>62</v>
      </c>
      <c r="F36" s="36">
        <v>46261.0</v>
      </c>
      <c r="G36" s="36">
        <v>46266.0</v>
      </c>
      <c r="H36" s="37">
        <f t="shared" si="5"/>
        <v>6</v>
      </c>
      <c r="I36" s="38">
        <f t="shared" si="6"/>
        <v>1</v>
      </c>
      <c r="J36" s="39"/>
      <c r="K36" s="39"/>
      <c r="L36" s="39"/>
      <c r="M36" s="39"/>
      <c r="N36" s="39"/>
      <c r="O36" s="40"/>
      <c r="P36" s="40"/>
      <c r="Q36" s="39"/>
      <c r="R36" s="39"/>
      <c r="S36" s="39"/>
      <c r="T36" s="39"/>
      <c r="U36" s="39"/>
      <c r="V36" s="46"/>
      <c r="W36" s="46"/>
      <c r="X36" s="39"/>
      <c r="Y36" s="39"/>
      <c r="Z36" s="39"/>
      <c r="AA36" s="41">
        <v>2.0</v>
      </c>
      <c r="AB36" s="41">
        <v>2.0</v>
      </c>
      <c r="AC36" s="46"/>
      <c r="AD36" s="46"/>
      <c r="AE36" s="41">
        <v>2.0</v>
      </c>
      <c r="AF36" s="39"/>
      <c r="AG36" s="39"/>
      <c r="AH36" s="39"/>
      <c r="AI36" s="39"/>
      <c r="AJ36" s="40"/>
      <c r="AK36" s="40"/>
      <c r="AL36" s="39"/>
      <c r="AM36" s="39"/>
      <c r="AN36" s="39"/>
      <c r="AO36" s="39"/>
      <c r="AP36" s="39"/>
      <c r="AQ36" s="40"/>
      <c r="AR36" s="40"/>
      <c r="AS36" s="39"/>
      <c r="AT36" s="39"/>
      <c r="AU36" s="39"/>
      <c r="AV36" s="39"/>
      <c r="AW36" s="39"/>
      <c r="AX36" s="40"/>
      <c r="AY36" s="40"/>
      <c r="AZ36" s="39"/>
      <c r="BA36" s="39"/>
      <c r="BB36" s="39"/>
      <c r="BC36" s="39"/>
      <c r="BD36" s="39"/>
      <c r="BE36" s="40"/>
      <c r="BF36" s="40"/>
      <c r="BG36" s="39"/>
      <c r="BH36" s="39"/>
      <c r="BI36" s="39"/>
      <c r="BJ36" s="39"/>
      <c r="BK36" s="39"/>
      <c r="BL36" s="40"/>
      <c r="BM36" s="40"/>
      <c r="BN36" s="39"/>
      <c r="BO36" s="39"/>
    </row>
    <row r="37">
      <c r="A37" s="1"/>
      <c r="B37" s="28" t="s">
        <v>117</v>
      </c>
      <c r="C37" s="28" t="s">
        <v>118</v>
      </c>
      <c r="D37" s="29"/>
      <c r="E37" s="29"/>
      <c r="F37" s="30">
        <f>MIN(F38:F43)</f>
        <v>46258</v>
      </c>
      <c r="G37" s="30">
        <f>MAX(G38:G43)</f>
        <v>46284</v>
      </c>
      <c r="H37" s="31">
        <f>G37-F37+1</f>
        <v>27</v>
      </c>
      <c r="I37" s="32">
        <f>IFERROR(COUNTIF($J$38:$BO$43,2)/(COUNTIF($J$38:$BO$43,1)+COUNTIF($J$38:$BO$43,2)),0)</f>
        <v>0.358974359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</row>
    <row r="38">
      <c r="A38" s="1"/>
      <c r="B38" s="33" t="s">
        <v>119</v>
      </c>
      <c r="C38" s="45" t="s">
        <v>120</v>
      </c>
      <c r="D38" s="43" t="s">
        <v>121</v>
      </c>
      <c r="E38" s="42" t="s">
        <v>122</v>
      </c>
      <c r="F38" s="47">
        <v>46258.0</v>
      </c>
      <c r="G38" s="47">
        <v>46262.0</v>
      </c>
      <c r="H38" s="37">
        <f t="shared" ref="H38:H43" si="7">IF(OR($F38="",$G38=""),"",$G38-$F38+1)</f>
        <v>5</v>
      </c>
      <c r="I38" s="38">
        <f t="shared" ref="I38:I43" si="8">IFERROR(COUNTIF($J38:$BO38,2)/(COUNTIF($J38:$BO38,1)+COUNTIF($J38:$BO38,2)),0)</f>
        <v>1</v>
      </c>
      <c r="J38" s="39"/>
      <c r="K38" s="39"/>
      <c r="L38" s="39"/>
      <c r="M38" s="39"/>
      <c r="N38" s="39"/>
      <c r="O38" s="40"/>
      <c r="P38" s="40"/>
      <c r="Q38" s="39"/>
      <c r="R38" s="39"/>
      <c r="S38" s="39"/>
      <c r="T38" s="39"/>
      <c r="U38" s="39"/>
      <c r="V38" s="40"/>
      <c r="W38" s="40"/>
      <c r="X38" s="41">
        <v>2.0</v>
      </c>
      <c r="Y38" s="41">
        <v>2.0</v>
      </c>
      <c r="Z38" s="41">
        <v>2.0</v>
      </c>
      <c r="AA38" s="41">
        <v>2.0</v>
      </c>
      <c r="AB38" s="41">
        <v>2.0</v>
      </c>
      <c r="AC38" s="40"/>
      <c r="AD38" s="40"/>
      <c r="AE38" s="41"/>
      <c r="AF38" s="39"/>
      <c r="AG38" s="39"/>
      <c r="AH38" s="39"/>
      <c r="AI38" s="41"/>
      <c r="AJ38" s="46"/>
      <c r="AK38" s="46"/>
      <c r="AL38" s="39"/>
      <c r="AM38" s="39"/>
      <c r="AN38" s="39"/>
      <c r="AO38" s="39"/>
      <c r="AP38" s="39"/>
      <c r="AQ38" s="40"/>
      <c r="AR38" s="40"/>
      <c r="AS38" s="39"/>
      <c r="AT38" s="39"/>
      <c r="AU38" s="39"/>
      <c r="AV38" s="39"/>
      <c r="AW38" s="39"/>
      <c r="AX38" s="40"/>
      <c r="AY38" s="40"/>
      <c r="AZ38" s="39"/>
      <c r="BA38" s="39"/>
      <c r="BB38" s="39"/>
      <c r="BC38" s="39"/>
      <c r="BD38" s="39"/>
      <c r="BE38" s="40"/>
      <c r="BF38" s="40"/>
      <c r="BG38" s="39"/>
      <c r="BH38" s="39"/>
      <c r="BI38" s="39"/>
      <c r="BJ38" s="39"/>
      <c r="BK38" s="39"/>
      <c r="BL38" s="40"/>
      <c r="BM38" s="40"/>
      <c r="BN38" s="39"/>
      <c r="BO38" s="39"/>
    </row>
    <row r="39">
      <c r="A39" s="1"/>
      <c r="B39" s="33" t="s">
        <v>123</v>
      </c>
      <c r="C39" s="33" t="s">
        <v>124</v>
      </c>
      <c r="D39" s="43" t="s">
        <v>125</v>
      </c>
      <c r="E39" s="42" t="s">
        <v>122</v>
      </c>
      <c r="F39" s="47">
        <v>46258.0</v>
      </c>
      <c r="G39" s="47">
        <v>46266.0</v>
      </c>
      <c r="H39" s="37">
        <f t="shared" si="7"/>
        <v>9</v>
      </c>
      <c r="I39" s="38">
        <f t="shared" si="8"/>
        <v>1</v>
      </c>
      <c r="J39" s="39"/>
      <c r="K39" s="39"/>
      <c r="L39" s="39"/>
      <c r="M39" s="39"/>
      <c r="N39" s="39"/>
      <c r="O39" s="40"/>
      <c r="P39" s="40"/>
      <c r="Q39" s="39"/>
      <c r="R39" s="39"/>
      <c r="S39" s="39"/>
      <c r="T39" s="39"/>
      <c r="U39" s="39"/>
      <c r="V39" s="40"/>
      <c r="W39" s="40"/>
      <c r="X39" s="41">
        <v>2.0</v>
      </c>
      <c r="Y39" s="41">
        <v>2.0</v>
      </c>
      <c r="Z39" s="41">
        <v>2.0</v>
      </c>
      <c r="AA39" s="41">
        <v>2.0</v>
      </c>
      <c r="AB39" s="41">
        <v>2.0</v>
      </c>
      <c r="AC39" s="41">
        <v>2.0</v>
      </c>
      <c r="AD39" s="41">
        <v>2.0</v>
      </c>
      <c r="AE39" s="41">
        <v>2.0</v>
      </c>
      <c r="AF39" s="41">
        <v>2.0</v>
      </c>
      <c r="AG39" s="39"/>
      <c r="AH39" s="39"/>
      <c r="AI39" s="39"/>
      <c r="AJ39" s="46"/>
      <c r="AK39" s="46"/>
      <c r="AL39" s="39"/>
      <c r="AM39" s="39"/>
      <c r="AN39" s="39"/>
      <c r="AO39" s="39"/>
      <c r="AP39" s="39"/>
      <c r="AQ39" s="40"/>
      <c r="AR39" s="40"/>
      <c r="AS39" s="39"/>
      <c r="AT39" s="39"/>
      <c r="AU39" s="39"/>
      <c r="AV39" s="39"/>
      <c r="AW39" s="39"/>
      <c r="AX39" s="40"/>
      <c r="AY39" s="40"/>
      <c r="AZ39" s="39"/>
      <c r="BA39" s="39"/>
      <c r="BB39" s="39"/>
      <c r="BC39" s="39"/>
      <c r="BD39" s="39"/>
      <c r="BE39" s="40"/>
      <c r="BF39" s="40"/>
      <c r="BG39" s="39"/>
      <c r="BH39" s="39"/>
      <c r="BI39" s="39"/>
      <c r="BJ39" s="39"/>
      <c r="BK39" s="39"/>
      <c r="BL39" s="40"/>
      <c r="BM39" s="40"/>
      <c r="BN39" s="39"/>
      <c r="BO39" s="39"/>
    </row>
    <row r="40">
      <c r="A40" s="1"/>
      <c r="B40" s="33" t="s">
        <v>126</v>
      </c>
      <c r="C40" s="33" t="s">
        <v>127</v>
      </c>
      <c r="D40" s="34" t="s">
        <v>128</v>
      </c>
      <c r="E40" s="42" t="s">
        <v>129</v>
      </c>
      <c r="F40" s="36">
        <v>46272.0</v>
      </c>
      <c r="G40" s="36">
        <v>46275.0</v>
      </c>
      <c r="H40" s="37">
        <f t="shared" si="7"/>
        <v>4</v>
      </c>
      <c r="I40" s="38">
        <f t="shared" si="8"/>
        <v>0</v>
      </c>
      <c r="J40" s="39"/>
      <c r="K40" s="39"/>
      <c r="L40" s="39"/>
      <c r="M40" s="39"/>
      <c r="N40" s="39"/>
      <c r="O40" s="40"/>
      <c r="P40" s="40"/>
      <c r="Q40" s="39"/>
      <c r="R40" s="39"/>
      <c r="S40" s="39"/>
      <c r="T40" s="39"/>
      <c r="U40" s="39"/>
      <c r="V40" s="40"/>
      <c r="W40" s="40"/>
      <c r="X40" s="39"/>
      <c r="Y40" s="39"/>
      <c r="Z40" s="39"/>
      <c r="AA40" s="39"/>
      <c r="AB40" s="39"/>
      <c r="AC40" s="40"/>
      <c r="AD40" s="40"/>
      <c r="AE40" s="39"/>
      <c r="AF40" s="39"/>
      <c r="AG40" s="39"/>
      <c r="AH40" s="39"/>
      <c r="AI40" s="39"/>
      <c r="AJ40" s="46"/>
      <c r="AK40" s="46"/>
      <c r="AL40" s="41">
        <v>1.0</v>
      </c>
      <c r="AM40" s="41">
        <v>1.0</v>
      </c>
      <c r="AN40" s="41">
        <v>1.0</v>
      </c>
      <c r="AO40" s="41">
        <v>1.0</v>
      </c>
      <c r="AP40" s="39"/>
      <c r="AQ40" s="46"/>
      <c r="AR40" s="46"/>
      <c r="AS40" s="39"/>
      <c r="AT40" s="39"/>
      <c r="AU40" s="39"/>
      <c r="AV40" s="39"/>
      <c r="AW40" s="39"/>
      <c r="AX40" s="40"/>
      <c r="AY40" s="40"/>
      <c r="AZ40" s="39"/>
      <c r="BA40" s="39"/>
      <c r="BB40" s="39"/>
      <c r="BC40" s="39"/>
      <c r="BD40" s="39"/>
      <c r="BE40" s="40"/>
      <c r="BF40" s="40"/>
      <c r="BG40" s="39"/>
      <c r="BH40" s="39"/>
      <c r="BI40" s="39"/>
      <c r="BJ40" s="39"/>
      <c r="BK40" s="39"/>
      <c r="BL40" s="40"/>
      <c r="BM40" s="40"/>
      <c r="BN40" s="39"/>
      <c r="BO40" s="39"/>
    </row>
    <row r="41">
      <c r="A41" s="1"/>
      <c r="B41" s="33" t="s">
        <v>130</v>
      </c>
      <c r="C41" s="45" t="s">
        <v>131</v>
      </c>
      <c r="D41" s="43" t="s">
        <v>132</v>
      </c>
      <c r="E41" s="42" t="s">
        <v>129</v>
      </c>
      <c r="F41" s="36">
        <v>46276.0</v>
      </c>
      <c r="G41" s="36">
        <v>46282.0</v>
      </c>
      <c r="H41" s="37">
        <f t="shared" si="7"/>
        <v>7</v>
      </c>
      <c r="I41" s="38">
        <f t="shared" si="8"/>
        <v>0</v>
      </c>
      <c r="J41" s="39"/>
      <c r="K41" s="39"/>
      <c r="L41" s="39"/>
      <c r="M41" s="39"/>
      <c r="N41" s="39"/>
      <c r="O41" s="40"/>
      <c r="P41" s="40"/>
      <c r="Q41" s="39"/>
      <c r="R41" s="39"/>
      <c r="S41" s="39"/>
      <c r="T41" s="39"/>
      <c r="U41" s="39"/>
      <c r="V41" s="40"/>
      <c r="W41" s="40"/>
      <c r="X41" s="39"/>
      <c r="Y41" s="39"/>
      <c r="Z41" s="39"/>
      <c r="AA41" s="39"/>
      <c r="AB41" s="39"/>
      <c r="AC41" s="40"/>
      <c r="AD41" s="40"/>
      <c r="AE41" s="39"/>
      <c r="AF41" s="39"/>
      <c r="AG41" s="39"/>
      <c r="AH41" s="39"/>
      <c r="AI41" s="39"/>
      <c r="AJ41" s="40"/>
      <c r="AK41" s="40"/>
      <c r="AL41" s="39"/>
      <c r="AM41" s="39"/>
      <c r="AN41" s="39"/>
      <c r="AO41" s="39"/>
      <c r="AP41" s="41">
        <v>1.0</v>
      </c>
      <c r="AQ41" s="41">
        <v>1.0</v>
      </c>
      <c r="AR41" s="41">
        <v>1.0</v>
      </c>
      <c r="AS41" s="41">
        <v>1.0</v>
      </c>
      <c r="AT41" s="41">
        <v>1.0</v>
      </c>
      <c r="AU41" s="41">
        <v>1.0</v>
      </c>
      <c r="AV41" s="41">
        <v>1.0</v>
      </c>
      <c r="AW41" s="39"/>
      <c r="AX41" s="40"/>
      <c r="AY41" s="40"/>
      <c r="AZ41" s="39"/>
      <c r="BA41" s="39"/>
      <c r="BB41" s="39"/>
      <c r="BC41" s="39"/>
      <c r="BD41" s="39"/>
      <c r="BE41" s="40"/>
      <c r="BF41" s="40"/>
      <c r="BG41" s="39"/>
      <c r="BH41" s="39"/>
      <c r="BI41" s="39"/>
      <c r="BJ41" s="39"/>
      <c r="BK41" s="39"/>
      <c r="BL41" s="40"/>
      <c r="BM41" s="40"/>
      <c r="BN41" s="39"/>
      <c r="BO41" s="39"/>
    </row>
    <row r="42">
      <c r="A42" s="1"/>
      <c r="B42" s="33" t="s">
        <v>133</v>
      </c>
      <c r="C42" s="45" t="s">
        <v>134</v>
      </c>
      <c r="D42" s="43" t="s">
        <v>135</v>
      </c>
      <c r="E42" s="42" t="s">
        <v>129</v>
      </c>
      <c r="F42" s="36">
        <v>46277.0</v>
      </c>
      <c r="G42" s="36">
        <v>46283.0</v>
      </c>
      <c r="H42" s="37">
        <f t="shared" si="7"/>
        <v>7</v>
      </c>
      <c r="I42" s="38">
        <f t="shared" si="8"/>
        <v>0</v>
      </c>
      <c r="J42" s="39"/>
      <c r="K42" s="39"/>
      <c r="L42" s="39"/>
      <c r="M42" s="39"/>
      <c r="N42" s="39"/>
      <c r="O42" s="40"/>
      <c r="P42" s="40"/>
      <c r="Q42" s="39"/>
      <c r="R42" s="39"/>
      <c r="S42" s="39"/>
      <c r="T42" s="39"/>
      <c r="U42" s="39"/>
      <c r="V42" s="40"/>
      <c r="W42" s="40"/>
      <c r="X42" s="39"/>
      <c r="Y42" s="39"/>
      <c r="Z42" s="39"/>
      <c r="AA42" s="39"/>
      <c r="AB42" s="39"/>
      <c r="AC42" s="40"/>
      <c r="AD42" s="40"/>
      <c r="AE42" s="39"/>
      <c r="AF42" s="39"/>
      <c r="AG42" s="39"/>
      <c r="AH42" s="39"/>
      <c r="AI42" s="39"/>
      <c r="AJ42" s="40"/>
      <c r="AK42" s="40"/>
      <c r="AL42" s="39"/>
      <c r="AM42" s="39"/>
      <c r="AN42" s="39"/>
      <c r="AO42" s="39"/>
      <c r="AP42" s="39"/>
      <c r="AQ42" s="48">
        <v>1.0</v>
      </c>
      <c r="AR42" s="48">
        <v>1.0</v>
      </c>
      <c r="AS42" s="48">
        <v>1.0</v>
      </c>
      <c r="AT42" s="48">
        <v>1.0</v>
      </c>
      <c r="AU42" s="48">
        <v>1.0</v>
      </c>
      <c r="AV42" s="48">
        <v>1.0</v>
      </c>
      <c r="AW42" s="48">
        <v>1.0</v>
      </c>
      <c r="AX42" s="40"/>
      <c r="AY42" s="40"/>
      <c r="AZ42" s="39"/>
      <c r="BA42" s="39"/>
      <c r="BB42" s="39"/>
      <c r="BC42" s="39"/>
      <c r="BD42" s="39"/>
      <c r="BE42" s="40"/>
      <c r="BF42" s="40"/>
      <c r="BG42" s="39"/>
      <c r="BH42" s="39"/>
      <c r="BI42" s="39"/>
      <c r="BJ42" s="39"/>
      <c r="BK42" s="39"/>
      <c r="BL42" s="40"/>
      <c r="BM42" s="40"/>
      <c r="BN42" s="39"/>
      <c r="BO42" s="39"/>
    </row>
    <row r="43">
      <c r="A43" s="1"/>
      <c r="B43" s="33" t="s">
        <v>136</v>
      </c>
      <c r="C43" s="45" t="s">
        <v>137</v>
      </c>
      <c r="D43" s="43" t="s">
        <v>138</v>
      </c>
      <c r="E43" s="42" t="s">
        <v>129</v>
      </c>
      <c r="F43" s="36">
        <v>46278.0</v>
      </c>
      <c r="G43" s="36">
        <v>46284.0</v>
      </c>
      <c r="H43" s="37">
        <f t="shared" si="7"/>
        <v>7</v>
      </c>
      <c r="I43" s="38">
        <f t="shared" si="8"/>
        <v>0</v>
      </c>
      <c r="J43" s="39"/>
      <c r="K43" s="39"/>
      <c r="L43" s="39"/>
      <c r="M43" s="39"/>
      <c r="N43" s="39"/>
      <c r="O43" s="40"/>
      <c r="P43" s="40"/>
      <c r="Q43" s="39"/>
      <c r="R43" s="39"/>
      <c r="S43" s="39"/>
      <c r="T43" s="39"/>
      <c r="U43" s="39"/>
      <c r="V43" s="40"/>
      <c r="W43" s="40"/>
      <c r="X43" s="39"/>
      <c r="Y43" s="39"/>
      <c r="Z43" s="39"/>
      <c r="AA43" s="39"/>
      <c r="AB43" s="39"/>
      <c r="AC43" s="40"/>
      <c r="AD43" s="40"/>
      <c r="AE43" s="39"/>
      <c r="AF43" s="39"/>
      <c r="AG43" s="39"/>
      <c r="AH43" s="39"/>
      <c r="AI43" s="39"/>
      <c r="AJ43" s="40"/>
      <c r="AK43" s="40"/>
      <c r="AL43" s="39"/>
      <c r="AM43" s="39"/>
      <c r="AN43" s="39"/>
      <c r="AO43" s="39"/>
      <c r="AP43" s="39"/>
      <c r="AQ43" s="46"/>
      <c r="AR43" s="48">
        <v>1.0</v>
      </c>
      <c r="AS43" s="48">
        <v>1.0</v>
      </c>
      <c r="AT43" s="48">
        <v>1.0</v>
      </c>
      <c r="AU43" s="48">
        <v>1.0</v>
      </c>
      <c r="AV43" s="48">
        <v>1.0</v>
      </c>
      <c r="AW43" s="48">
        <v>1.0</v>
      </c>
      <c r="AX43" s="48">
        <v>1.0</v>
      </c>
      <c r="AY43" s="40"/>
      <c r="AZ43" s="39"/>
      <c r="BA43" s="39"/>
      <c r="BB43" s="39"/>
      <c r="BC43" s="39"/>
      <c r="BD43" s="39"/>
      <c r="BE43" s="40"/>
      <c r="BF43" s="40"/>
      <c r="BG43" s="39"/>
      <c r="BH43" s="39"/>
      <c r="BI43" s="39"/>
      <c r="BJ43" s="39"/>
      <c r="BK43" s="39"/>
      <c r="BL43" s="40"/>
      <c r="BM43" s="40"/>
      <c r="BN43" s="39"/>
      <c r="BO43" s="39"/>
    </row>
    <row r="44">
      <c r="A44" s="1"/>
      <c r="B44" s="28" t="s">
        <v>139</v>
      </c>
      <c r="C44" s="49" t="s">
        <v>140</v>
      </c>
      <c r="D44" s="29"/>
      <c r="E44" s="29"/>
      <c r="F44" s="30">
        <f>MIN(F45:F54)</f>
        <v>46258</v>
      </c>
      <c r="G44" s="30">
        <f>MAX(G45:G54)</f>
        <v>46284</v>
      </c>
      <c r="H44" s="31">
        <f>G44-F44+1</f>
        <v>27</v>
      </c>
      <c r="I44" s="32">
        <f>IFERROR(COUNTIF($J$45:$BO$54,2)/(COUNTIF($J$45:$BO$54,1)+COUNTIF($J$45:$BO$54,2)),0)</f>
        <v>0.4426229508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</row>
    <row r="45">
      <c r="A45" s="1"/>
      <c r="B45" s="33" t="s">
        <v>141</v>
      </c>
      <c r="C45" s="33" t="s">
        <v>142</v>
      </c>
      <c r="D45" s="34" t="s">
        <v>143</v>
      </c>
      <c r="E45" s="42" t="s">
        <v>69</v>
      </c>
      <c r="F45" s="50">
        <v>46258.0</v>
      </c>
      <c r="G45" s="47">
        <v>46262.0</v>
      </c>
      <c r="H45" s="37">
        <f t="shared" ref="H45:H54" si="9">IF(OR($F45="",$G45=""),"",$G45-$F45+1)</f>
        <v>5</v>
      </c>
      <c r="I45" s="38">
        <f t="shared" ref="I45:I54" si="10">IFERROR(COUNTIF($J45:$BO45,2)/(COUNTIF($J45:$BO45,1)+COUNTIF($J45:$BO45,2)),0)</f>
        <v>1</v>
      </c>
      <c r="J45" s="39"/>
      <c r="K45" s="39"/>
      <c r="L45" s="39"/>
      <c r="M45" s="39"/>
      <c r="N45" s="39"/>
      <c r="O45" s="40"/>
      <c r="P45" s="40"/>
      <c r="Q45" s="39"/>
      <c r="R45" s="39"/>
      <c r="S45" s="39"/>
      <c r="T45" s="39"/>
      <c r="U45" s="39"/>
      <c r="V45" s="40"/>
      <c r="W45" s="40"/>
      <c r="X45" s="41">
        <v>2.0</v>
      </c>
      <c r="Y45" s="41">
        <v>2.0</v>
      </c>
      <c r="Z45" s="41">
        <v>2.0</v>
      </c>
      <c r="AA45" s="41">
        <v>2.0</v>
      </c>
      <c r="AB45" s="41">
        <v>2.0</v>
      </c>
      <c r="AC45" s="40"/>
      <c r="AD45" s="40"/>
      <c r="AE45" s="41"/>
      <c r="AF45" s="41"/>
      <c r="AG45" s="41"/>
      <c r="AH45" s="39"/>
      <c r="AI45" s="39"/>
      <c r="AJ45" s="40"/>
      <c r="AK45" s="40"/>
      <c r="AL45" s="39"/>
      <c r="AM45" s="39"/>
      <c r="AN45" s="39"/>
      <c r="AO45" s="39"/>
      <c r="AP45" s="39"/>
      <c r="AQ45" s="40"/>
      <c r="AR45" s="40"/>
      <c r="AS45" s="39"/>
      <c r="AT45" s="39"/>
      <c r="AU45" s="39"/>
      <c r="AV45" s="39"/>
      <c r="AW45" s="39"/>
      <c r="AX45" s="40"/>
      <c r="AY45" s="40"/>
      <c r="AZ45" s="39"/>
      <c r="BA45" s="39"/>
      <c r="BB45" s="39"/>
      <c r="BC45" s="39"/>
      <c r="BD45" s="39"/>
      <c r="BE45" s="40"/>
      <c r="BF45" s="40"/>
      <c r="BG45" s="39"/>
      <c r="BH45" s="39"/>
      <c r="BI45" s="39"/>
      <c r="BJ45" s="39"/>
      <c r="BK45" s="39"/>
      <c r="BL45" s="40"/>
      <c r="BM45" s="40"/>
      <c r="BN45" s="39"/>
      <c r="BO45" s="39"/>
    </row>
    <row r="46">
      <c r="A46" s="1"/>
      <c r="B46" s="33" t="s">
        <v>144</v>
      </c>
      <c r="C46" s="33" t="s">
        <v>145</v>
      </c>
      <c r="D46" s="34" t="s">
        <v>146</v>
      </c>
      <c r="E46" s="42" t="s">
        <v>69</v>
      </c>
      <c r="F46" s="50">
        <v>46258.0</v>
      </c>
      <c r="G46" s="47">
        <v>46262.0</v>
      </c>
      <c r="H46" s="37">
        <f t="shared" si="9"/>
        <v>5</v>
      </c>
      <c r="I46" s="38">
        <f t="shared" si="10"/>
        <v>1</v>
      </c>
      <c r="J46" s="39"/>
      <c r="K46" s="39"/>
      <c r="L46" s="39"/>
      <c r="M46" s="39"/>
      <c r="N46" s="39"/>
      <c r="O46" s="40"/>
      <c r="P46" s="40"/>
      <c r="Q46" s="39"/>
      <c r="R46" s="39"/>
      <c r="S46" s="39"/>
      <c r="T46" s="39"/>
      <c r="U46" s="39"/>
      <c r="V46" s="40"/>
      <c r="W46" s="40"/>
      <c r="X46" s="41">
        <v>2.0</v>
      </c>
      <c r="Y46" s="41">
        <v>2.0</v>
      </c>
      <c r="Z46" s="41">
        <v>2.0</v>
      </c>
      <c r="AA46" s="41">
        <v>2.0</v>
      </c>
      <c r="AB46" s="41">
        <v>2.0</v>
      </c>
      <c r="AC46" s="40"/>
      <c r="AD46" s="40"/>
      <c r="AE46" s="39"/>
      <c r="AF46" s="41"/>
      <c r="AG46" s="41"/>
      <c r="AH46" s="41"/>
      <c r="AI46" s="41"/>
      <c r="AJ46" s="44"/>
      <c r="AK46" s="44"/>
      <c r="AL46" s="41"/>
      <c r="AM46" s="39"/>
      <c r="AN46" s="39"/>
      <c r="AO46" s="39"/>
      <c r="AP46" s="39"/>
      <c r="AQ46" s="40"/>
      <c r="AR46" s="40"/>
      <c r="AS46" s="39"/>
      <c r="AT46" s="39"/>
      <c r="AU46" s="39"/>
      <c r="AV46" s="39"/>
      <c r="AW46" s="39"/>
      <c r="AX46" s="40"/>
      <c r="AY46" s="40"/>
      <c r="AZ46" s="39"/>
      <c r="BA46" s="39"/>
      <c r="BB46" s="39"/>
      <c r="BC46" s="39"/>
      <c r="BD46" s="39"/>
      <c r="BE46" s="40"/>
      <c r="BF46" s="40"/>
      <c r="BG46" s="39"/>
      <c r="BH46" s="39"/>
      <c r="BI46" s="39"/>
      <c r="BJ46" s="39"/>
      <c r="BK46" s="39"/>
      <c r="BL46" s="40"/>
      <c r="BM46" s="40"/>
      <c r="BN46" s="39"/>
      <c r="BO46" s="39"/>
    </row>
    <row r="47">
      <c r="A47" s="1"/>
      <c r="B47" s="33" t="s">
        <v>147</v>
      </c>
      <c r="C47" s="33" t="s">
        <v>148</v>
      </c>
      <c r="D47" s="34" t="s">
        <v>149</v>
      </c>
      <c r="E47" s="42" t="s">
        <v>69</v>
      </c>
      <c r="F47" s="50">
        <v>46258.0</v>
      </c>
      <c r="G47" s="47">
        <v>46262.0</v>
      </c>
      <c r="H47" s="37">
        <f t="shared" si="9"/>
        <v>5</v>
      </c>
      <c r="I47" s="38">
        <f t="shared" si="10"/>
        <v>1</v>
      </c>
      <c r="J47" s="39"/>
      <c r="K47" s="39"/>
      <c r="L47" s="39"/>
      <c r="M47" s="39"/>
      <c r="N47" s="39"/>
      <c r="O47" s="40"/>
      <c r="P47" s="40"/>
      <c r="Q47" s="39"/>
      <c r="R47" s="39"/>
      <c r="S47" s="39"/>
      <c r="T47" s="39"/>
      <c r="U47" s="39"/>
      <c r="V47" s="40"/>
      <c r="W47" s="40"/>
      <c r="X47" s="41">
        <v>2.0</v>
      </c>
      <c r="Y47" s="41">
        <v>2.0</v>
      </c>
      <c r="Z47" s="41">
        <v>2.0</v>
      </c>
      <c r="AA47" s="41">
        <v>2.0</v>
      </c>
      <c r="AB47" s="41">
        <v>2.0</v>
      </c>
      <c r="AC47" s="40"/>
      <c r="AD47" s="40"/>
      <c r="AE47" s="39"/>
      <c r="AF47" s="39"/>
      <c r="AG47" s="39"/>
      <c r="AH47" s="39"/>
      <c r="AI47" s="39"/>
      <c r="AJ47" s="40"/>
      <c r="AK47" s="40"/>
      <c r="AL47" s="39"/>
      <c r="AM47" s="39"/>
      <c r="AN47" s="39" t="s">
        <v>150</v>
      </c>
      <c r="AO47" s="39"/>
      <c r="AP47" s="39"/>
      <c r="AQ47" s="40"/>
      <c r="AR47" s="40"/>
      <c r="AS47" s="39"/>
      <c r="AT47" s="39"/>
      <c r="AU47" s="39"/>
      <c r="AV47" s="39"/>
      <c r="AW47" s="39"/>
      <c r="AX47" s="40"/>
      <c r="AY47" s="40"/>
      <c r="AZ47" s="39"/>
      <c r="BA47" s="39"/>
      <c r="BB47" s="39"/>
      <c r="BC47" s="39"/>
      <c r="BD47" s="39"/>
      <c r="BE47" s="40"/>
      <c r="BF47" s="40"/>
      <c r="BG47" s="39"/>
      <c r="BH47" s="39"/>
      <c r="BI47" s="39"/>
      <c r="BJ47" s="39"/>
      <c r="BK47" s="39"/>
      <c r="BL47" s="40"/>
      <c r="BM47" s="40"/>
      <c r="BN47" s="39"/>
      <c r="BO47" s="39"/>
    </row>
    <row r="48">
      <c r="A48" s="1"/>
      <c r="B48" s="33" t="s">
        <v>151</v>
      </c>
      <c r="C48" s="33" t="s">
        <v>152</v>
      </c>
      <c r="D48" s="34" t="s">
        <v>153</v>
      </c>
      <c r="E48" s="42" t="s">
        <v>69</v>
      </c>
      <c r="F48" s="50">
        <v>46261.0</v>
      </c>
      <c r="G48" s="47">
        <v>46266.0</v>
      </c>
      <c r="H48" s="37">
        <f t="shared" si="9"/>
        <v>6</v>
      </c>
      <c r="I48" s="38">
        <f t="shared" si="10"/>
        <v>1</v>
      </c>
      <c r="J48" s="39"/>
      <c r="K48" s="39"/>
      <c r="L48" s="39"/>
      <c r="M48" s="39"/>
      <c r="N48" s="39"/>
      <c r="O48" s="40"/>
      <c r="P48" s="40"/>
      <c r="Q48" s="39"/>
      <c r="R48" s="39"/>
      <c r="S48" s="39"/>
      <c r="T48" s="39"/>
      <c r="U48" s="39"/>
      <c r="V48" s="40"/>
      <c r="W48" s="40"/>
      <c r="X48" s="39"/>
      <c r="Y48" s="39"/>
      <c r="Z48" s="39"/>
      <c r="AA48" s="41">
        <v>2.0</v>
      </c>
      <c r="AB48" s="41">
        <v>2.0</v>
      </c>
      <c r="AC48" s="44">
        <v>2.0</v>
      </c>
      <c r="AD48" s="44">
        <v>2.0</v>
      </c>
      <c r="AE48" s="41">
        <v>2.0</v>
      </c>
      <c r="AF48" s="41">
        <v>2.0</v>
      </c>
      <c r="AG48" s="39"/>
      <c r="AH48" s="39"/>
      <c r="AI48" s="39"/>
      <c r="AJ48" s="40"/>
      <c r="AK48" s="40"/>
      <c r="AL48" s="39"/>
      <c r="AM48" s="39"/>
      <c r="AN48" s="39"/>
      <c r="AO48" s="39"/>
      <c r="AP48" s="39"/>
      <c r="AQ48" s="46"/>
      <c r="AR48" s="46"/>
      <c r="AS48" s="39"/>
      <c r="AT48" s="39"/>
      <c r="AU48" s="39"/>
      <c r="AV48" s="39"/>
      <c r="AW48" s="39"/>
      <c r="AX48" s="40"/>
      <c r="AY48" s="40"/>
      <c r="AZ48" s="39"/>
      <c r="BA48" s="39"/>
      <c r="BB48" s="39"/>
      <c r="BC48" s="39"/>
      <c r="BD48" s="39"/>
      <c r="BE48" s="40"/>
      <c r="BF48" s="40"/>
      <c r="BG48" s="39"/>
      <c r="BH48" s="39"/>
      <c r="BI48" s="39"/>
      <c r="BJ48" s="39"/>
      <c r="BK48" s="39"/>
      <c r="BL48" s="40"/>
      <c r="BM48" s="40"/>
      <c r="BN48" s="39"/>
      <c r="BO48" s="39"/>
    </row>
    <row r="49">
      <c r="A49" s="1"/>
      <c r="B49" s="33" t="s">
        <v>154</v>
      </c>
      <c r="C49" s="33" t="s">
        <v>155</v>
      </c>
      <c r="D49" s="34" t="s">
        <v>156</v>
      </c>
      <c r="E49" s="42" t="s">
        <v>69</v>
      </c>
      <c r="F49" s="50">
        <v>46261.0</v>
      </c>
      <c r="G49" s="47">
        <v>46271.0</v>
      </c>
      <c r="H49" s="37">
        <f t="shared" si="9"/>
        <v>11</v>
      </c>
      <c r="I49" s="38">
        <f t="shared" si="10"/>
        <v>0.5454545455</v>
      </c>
      <c r="J49" s="39"/>
      <c r="K49" s="39"/>
      <c r="L49" s="39"/>
      <c r="M49" s="39"/>
      <c r="N49" s="39"/>
      <c r="O49" s="40"/>
      <c r="P49" s="40"/>
      <c r="Q49" s="39"/>
      <c r="R49" s="39"/>
      <c r="S49" s="39"/>
      <c r="T49" s="39"/>
      <c r="U49" s="39"/>
      <c r="V49" s="40"/>
      <c r="W49" s="40"/>
      <c r="X49" s="39"/>
      <c r="Y49" s="39"/>
      <c r="Z49" s="39"/>
      <c r="AA49" s="41">
        <v>2.0</v>
      </c>
      <c r="AB49" s="41">
        <v>2.0</v>
      </c>
      <c r="AC49" s="44">
        <v>2.0</v>
      </c>
      <c r="AD49" s="44">
        <v>2.0</v>
      </c>
      <c r="AE49" s="41">
        <v>2.0</v>
      </c>
      <c r="AF49" s="41">
        <v>2.0</v>
      </c>
      <c r="AG49" s="41">
        <v>1.0</v>
      </c>
      <c r="AH49" s="41">
        <v>1.0</v>
      </c>
      <c r="AI49" s="41">
        <v>1.0</v>
      </c>
      <c r="AJ49" s="44">
        <v>1.0</v>
      </c>
      <c r="AK49" s="44">
        <v>1.0</v>
      </c>
      <c r="AL49" s="39"/>
      <c r="AM49" s="39"/>
      <c r="AN49" s="39"/>
      <c r="AO49" s="39"/>
      <c r="AP49" s="39"/>
      <c r="AQ49" s="46"/>
      <c r="AR49" s="46"/>
      <c r="AS49" s="39"/>
      <c r="AT49" s="39"/>
      <c r="AU49" s="39"/>
      <c r="AV49" s="39"/>
      <c r="AW49" s="39"/>
      <c r="AX49" s="40"/>
      <c r="AY49" s="40"/>
      <c r="AZ49" s="39"/>
      <c r="BA49" s="39"/>
      <c r="BB49" s="39"/>
      <c r="BC49" s="39"/>
      <c r="BD49" s="39"/>
      <c r="BE49" s="40"/>
      <c r="BF49" s="40"/>
      <c r="BG49" s="39"/>
      <c r="BH49" s="39"/>
      <c r="BI49" s="39"/>
      <c r="BJ49" s="39"/>
      <c r="BK49" s="39"/>
      <c r="BL49" s="40"/>
      <c r="BM49" s="40"/>
      <c r="BN49" s="39"/>
      <c r="BO49" s="39"/>
    </row>
    <row r="50">
      <c r="A50" s="1"/>
      <c r="B50" s="33" t="s">
        <v>157</v>
      </c>
      <c r="C50" s="33" t="s">
        <v>158</v>
      </c>
      <c r="D50" s="34" t="s">
        <v>159</v>
      </c>
      <c r="E50" s="42" t="s">
        <v>69</v>
      </c>
      <c r="F50" s="47">
        <v>46272.0</v>
      </c>
      <c r="G50" s="36">
        <v>46281.0</v>
      </c>
      <c r="H50" s="37">
        <f t="shared" si="9"/>
        <v>10</v>
      </c>
      <c r="I50" s="38">
        <f t="shared" si="10"/>
        <v>0</v>
      </c>
      <c r="J50" s="39"/>
      <c r="K50" s="39"/>
      <c r="L50" s="39"/>
      <c r="M50" s="39"/>
      <c r="N50" s="39"/>
      <c r="O50" s="40"/>
      <c r="P50" s="40"/>
      <c r="Q50" s="39"/>
      <c r="R50" s="39"/>
      <c r="S50" s="39"/>
      <c r="T50" s="39"/>
      <c r="U50" s="39"/>
      <c r="V50" s="40"/>
      <c r="W50" s="40"/>
      <c r="X50" s="39"/>
      <c r="Y50" s="39"/>
      <c r="Z50" s="39"/>
      <c r="AA50" s="39"/>
      <c r="AB50" s="39"/>
      <c r="AC50" s="40"/>
      <c r="AD50" s="40"/>
      <c r="AE50" s="39"/>
      <c r="AF50" s="39"/>
      <c r="AG50" s="39"/>
      <c r="AH50" s="39"/>
      <c r="AI50" s="39"/>
      <c r="AJ50" s="40"/>
      <c r="AK50" s="40"/>
      <c r="AL50" s="41">
        <v>1.0</v>
      </c>
      <c r="AM50" s="41">
        <v>1.0</v>
      </c>
      <c r="AN50" s="41">
        <v>1.0</v>
      </c>
      <c r="AO50" s="41">
        <v>1.0</v>
      </c>
      <c r="AP50" s="41">
        <v>1.0</v>
      </c>
      <c r="AQ50" s="41">
        <v>1.0</v>
      </c>
      <c r="AR50" s="41">
        <v>1.0</v>
      </c>
      <c r="AS50" s="41">
        <v>1.0</v>
      </c>
      <c r="AT50" s="41">
        <v>1.0</v>
      </c>
      <c r="AU50" s="41">
        <v>1.0</v>
      </c>
      <c r="AV50" s="39"/>
      <c r="AW50" s="39"/>
      <c r="AX50" s="40"/>
      <c r="AY50" s="40"/>
      <c r="AZ50" s="39"/>
      <c r="BA50" s="39"/>
      <c r="BB50" s="39"/>
      <c r="BC50" s="39"/>
      <c r="BD50" s="39"/>
      <c r="BE50" s="40"/>
      <c r="BF50" s="40"/>
      <c r="BG50" s="39"/>
      <c r="BH50" s="39"/>
      <c r="BI50" s="39"/>
      <c r="BJ50" s="39"/>
      <c r="BK50" s="39"/>
      <c r="BL50" s="40"/>
      <c r="BM50" s="40"/>
      <c r="BN50" s="39"/>
      <c r="BO50" s="39"/>
    </row>
    <row r="51">
      <c r="A51" s="1"/>
      <c r="B51" s="33" t="s">
        <v>160</v>
      </c>
      <c r="C51" s="33" t="s">
        <v>161</v>
      </c>
      <c r="D51" s="34" t="s">
        <v>162</v>
      </c>
      <c r="E51" s="42" t="s">
        <v>69</v>
      </c>
      <c r="F51" s="36">
        <v>46276.0</v>
      </c>
      <c r="G51" s="36">
        <v>46281.0</v>
      </c>
      <c r="H51" s="37">
        <f t="shared" si="9"/>
        <v>6</v>
      </c>
      <c r="I51" s="38">
        <f t="shared" si="10"/>
        <v>0</v>
      </c>
      <c r="J51" s="39"/>
      <c r="K51" s="39"/>
      <c r="L51" s="39"/>
      <c r="M51" s="39"/>
      <c r="N51" s="39"/>
      <c r="O51" s="40"/>
      <c r="P51" s="40"/>
      <c r="Q51" s="39"/>
      <c r="R51" s="39"/>
      <c r="S51" s="39"/>
      <c r="T51" s="39"/>
      <c r="U51" s="39"/>
      <c r="V51" s="40"/>
      <c r="W51" s="40"/>
      <c r="X51" s="39"/>
      <c r="Y51" s="39"/>
      <c r="Z51" s="39"/>
      <c r="AA51" s="39"/>
      <c r="AB51" s="39"/>
      <c r="AC51" s="40"/>
      <c r="AD51" s="40"/>
      <c r="AE51" s="39"/>
      <c r="AF51" s="39"/>
      <c r="AG51" s="39"/>
      <c r="AH51" s="39"/>
      <c r="AI51" s="39"/>
      <c r="AJ51" s="40"/>
      <c r="AK51" s="40"/>
      <c r="AL51" s="39"/>
      <c r="AM51" s="39"/>
      <c r="AN51" s="39"/>
      <c r="AO51" s="39"/>
      <c r="AP51" s="41">
        <v>1.0</v>
      </c>
      <c r="AQ51" s="41">
        <v>1.0</v>
      </c>
      <c r="AR51" s="41">
        <v>1.0</v>
      </c>
      <c r="AS51" s="41">
        <v>1.0</v>
      </c>
      <c r="AT51" s="41">
        <v>1.0</v>
      </c>
      <c r="AU51" s="41">
        <v>1.0</v>
      </c>
      <c r="AV51" s="39"/>
      <c r="AW51" s="39"/>
      <c r="AX51" s="40"/>
      <c r="AY51" s="40"/>
      <c r="AZ51" s="39"/>
      <c r="BA51" s="39"/>
      <c r="BB51" s="39"/>
      <c r="BC51" s="39"/>
      <c r="BD51" s="39"/>
      <c r="BE51" s="40"/>
      <c r="BF51" s="40"/>
      <c r="BG51" s="39"/>
      <c r="BH51" s="39"/>
      <c r="BI51" s="39"/>
      <c r="BJ51" s="39"/>
      <c r="BK51" s="39"/>
      <c r="BL51" s="40"/>
      <c r="BM51" s="40"/>
      <c r="BN51" s="39"/>
      <c r="BO51" s="39"/>
    </row>
    <row r="52">
      <c r="A52" s="1"/>
      <c r="B52" s="33" t="s">
        <v>163</v>
      </c>
      <c r="C52" s="33" t="s">
        <v>164</v>
      </c>
      <c r="D52" s="34" t="s">
        <v>165</v>
      </c>
      <c r="E52" s="42" t="s">
        <v>69</v>
      </c>
      <c r="F52" s="36">
        <v>46279.0</v>
      </c>
      <c r="G52" s="36">
        <v>46283.0</v>
      </c>
      <c r="H52" s="37">
        <f t="shared" si="9"/>
        <v>5</v>
      </c>
      <c r="I52" s="38">
        <f t="shared" si="10"/>
        <v>0</v>
      </c>
      <c r="J52" s="39"/>
      <c r="K52" s="39"/>
      <c r="L52" s="39"/>
      <c r="M52" s="39"/>
      <c r="N52" s="39"/>
      <c r="O52" s="40"/>
      <c r="P52" s="40"/>
      <c r="Q52" s="39"/>
      <c r="R52" s="39"/>
      <c r="S52" s="39"/>
      <c r="T52" s="39"/>
      <c r="U52" s="39"/>
      <c r="V52" s="40"/>
      <c r="W52" s="40"/>
      <c r="X52" s="39"/>
      <c r="Y52" s="39"/>
      <c r="Z52" s="39"/>
      <c r="AA52" s="39"/>
      <c r="AB52" s="39"/>
      <c r="AC52" s="40"/>
      <c r="AD52" s="40"/>
      <c r="AE52" s="39"/>
      <c r="AF52" s="39"/>
      <c r="AG52" s="39"/>
      <c r="AH52" s="39"/>
      <c r="AI52" s="39"/>
      <c r="AJ52" s="40"/>
      <c r="AK52" s="40"/>
      <c r="AL52" s="39"/>
      <c r="AM52" s="39"/>
      <c r="AN52" s="39"/>
      <c r="AO52" s="39"/>
      <c r="AP52" s="39"/>
      <c r="AQ52" s="40"/>
      <c r="AR52" s="40"/>
      <c r="AS52" s="41">
        <v>1.0</v>
      </c>
      <c r="AT52" s="41">
        <v>1.0</v>
      </c>
      <c r="AU52" s="41">
        <v>1.0</v>
      </c>
      <c r="AV52" s="41">
        <v>1.0</v>
      </c>
      <c r="AW52" s="41">
        <v>1.0</v>
      </c>
      <c r="AX52" s="46"/>
      <c r="AY52" s="46"/>
      <c r="AZ52" s="39"/>
      <c r="BA52" s="39"/>
      <c r="BB52" s="39"/>
      <c r="BC52" s="39"/>
      <c r="BD52" s="39"/>
      <c r="BE52" s="40"/>
      <c r="BF52" s="40"/>
      <c r="BG52" s="39"/>
      <c r="BH52" s="39"/>
      <c r="BI52" s="39"/>
      <c r="BJ52" s="39"/>
      <c r="BK52" s="39"/>
      <c r="BL52" s="40"/>
      <c r="BM52" s="40"/>
      <c r="BN52" s="39"/>
      <c r="BO52" s="39"/>
    </row>
    <row r="53">
      <c r="A53" s="1"/>
      <c r="B53" s="33" t="s">
        <v>166</v>
      </c>
      <c r="C53" s="33" t="s">
        <v>167</v>
      </c>
      <c r="D53" s="34" t="s">
        <v>168</v>
      </c>
      <c r="E53" s="42" t="s">
        <v>69</v>
      </c>
      <c r="F53" s="36">
        <v>46281.0</v>
      </c>
      <c r="G53" s="36">
        <v>46284.0</v>
      </c>
      <c r="H53" s="37">
        <f t="shared" si="9"/>
        <v>4</v>
      </c>
      <c r="I53" s="38">
        <f t="shared" si="10"/>
        <v>0</v>
      </c>
      <c r="J53" s="39"/>
      <c r="K53" s="39"/>
      <c r="L53" s="39"/>
      <c r="M53" s="39"/>
      <c r="N53" s="39"/>
      <c r="O53" s="40"/>
      <c r="P53" s="40"/>
      <c r="Q53" s="39"/>
      <c r="R53" s="39"/>
      <c r="S53" s="39"/>
      <c r="T53" s="39"/>
      <c r="U53" s="39"/>
      <c r="V53" s="40"/>
      <c r="W53" s="40"/>
      <c r="X53" s="39"/>
      <c r="Y53" s="39"/>
      <c r="Z53" s="39"/>
      <c r="AA53" s="39"/>
      <c r="AB53" s="39"/>
      <c r="AC53" s="40"/>
      <c r="AD53" s="40"/>
      <c r="AE53" s="39"/>
      <c r="AF53" s="39"/>
      <c r="AG53" s="39"/>
      <c r="AH53" s="39"/>
      <c r="AI53" s="39"/>
      <c r="AJ53" s="40"/>
      <c r="AK53" s="40"/>
      <c r="AL53" s="39"/>
      <c r="AM53" s="39"/>
      <c r="AN53" s="39"/>
      <c r="AO53" s="39"/>
      <c r="AP53" s="39"/>
      <c r="AQ53" s="40"/>
      <c r="AR53" s="40"/>
      <c r="AS53" s="39"/>
      <c r="AT53" s="39"/>
      <c r="AU53" s="41">
        <v>1.0</v>
      </c>
      <c r="AV53" s="41">
        <v>1.0</v>
      </c>
      <c r="AW53" s="41">
        <v>1.0</v>
      </c>
      <c r="AX53" s="48">
        <v>1.0</v>
      </c>
      <c r="AY53" s="46"/>
      <c r="AZ53" s="39"/>
      <c r="BA53" s="39"/>
      <c r="BB53" s="39"/>
      <c r="BC53" s="39"/>
      <c r="BD53" s="39"/>
      <c r="BE53" s="40"/>
      <c r="BF53" s="40"/>
      <c r="BG53" s="39"/>
      <c r="BH53" s="39"/>
      <c r="BI53" s="39"/>
      <c r="BJ53" s="39"/>
      <c r="BK53" s="39"/>
      <c r="BL53" s="40"/>
      <c r="BM53" s="40"/>
      <c r="BN53" s="39"/>
      <c r="BO53" s="39"/>
    </row>
    <row r="54">
      <c r="A54" s="1"/>
      <c r="B54" s="33" t="s">
        <v>169</v>
      </c>
      <c r="C54" s="33" t="s">
        <v>170</v>
      </c>
      <c r="D54" s="34" t="s">
        <v>171</v>
      </c>
      <c r="E54" s="42" t="s">
        <v>69</v>
      </c>
      <c r="F54" s="36">
        <v>46281.0</v>
      </c>
      <c r="G54" s="36">
        <v>46284.0</v>
      </c>
      <c r="H54" s="37">
        <f t="shared" si="9"/>
        <v>4</v>
      </c>
      <c r="I54" s="38">
        <f t="shared" si="10"/>
        <v>0</v>
      </c>
      <c r="J54" s="39"/>
      <c r="K54" s="39"/>
      <c r="L54" s="39"/>
      <c r="M54" s="39"/>
      <c r="N54" s="39"/>
      <c r="O54" s="40"/>
      <c r="P54" s="40"/>
      <c r="Q54" s="39"/>
      <c r="R54" s="39"/>
      <c r="S54" s="39"/>
      <c r="T54" s="39"/>
      <c r="U54" s="39"/>
      <c r="V54" s="40"/>
      <c r="W54" s="40"/>
      <c r="X54" s="39"/>
      <c r="Y54" s="39"/>
      <c r="Z54" s="39"/>
      <c r="AA54" s="39"/>
      <c r="AB54" s="39"/>
      <c r="AC54" s="40"/>
      <c r="AD54" s="40"/>
      <c r="AE54" s="39"/>
      <c r="AF54" s="39"/>
      <c r="AG54" s="39"/>
      <c r="AH54" s="39"/>
      <c r="AI54" s="39"/>
      <c r="AJ54" s="40"/>
      <c r="AK54" s="40"/>
      <c r="AL54" s="39"/>
      <c r="AM54" s="39"/>
      <c r="AN54" s="39"/>
      <c r="AO54" s="39"/>
      <c r="AP54" s="39"/>
      <c r="AQ54" s="40"/>
      <c r="AR54" s="40"/>
      <c r="AS54" s="39"/>
      <c r="AT54" s="39"/>
      <c r="AU54" s="41">
        <v>1.0</v>
      </c>
      <c r="AV54" s="41">
        <v>1.0</v>
      </c>
      <c r="AW54" s="41">
        <v>1.0</v>
      </c>
      <c r="AX54" s="48">
        <v>1.0</v>
      </c>
      <c r="AY54" s="46"/>
      <c r="AZ54" s="39"/>
      <c r="BA54" s="39"/>
      <c r="BB54" s="39"/>
      <c r="BC54" s="39"/>
      <c r="BD54" s="39"/>
      <c r="BE54" s="40"/>
      <c r="BF54" s="40"/>
      <c r="BG54" s="39"/>
      <c r="BH54" s="39"/>
      <c r="BI54" s="39"/>
      <c r="BJ54" s="39"/>
      <c r="BK54" s="39"/>
      <c r="BL54" s="40"/>
      <c r="BM54" s="40"/>
      <c r="BN54" s="39"/>
      <c r="BO54" s="39"/>
    </row>
    <row r="55">
      <c r="A55" s="1"/>
      <c r="B55" s="28" t="s">
        <v>172</v>
      </c>
      <c r="C55" s="28" t="s">
        <v>173</v>
      </c>
      <c r="D55" s="29"/>
      <c r="E55" s="29"/>
      <c r="F55" s="30">
        <f>MIN(F56:F64)</f>
        <v>46251</v>
      </c>
      <c r="G55" s="30">
        <f>MAX(G56:G64)</f>
        <v>46288</v>
      </c>
      <c r="H55" s="31">
        <f>G55-F55+1</f>
        <v>38</v>
      </c>
      <c r="I55" s="32">
        <f>IFERROR(COUNTIF($J$56:$BO$64,2)/(COUNTIF($J$56:$BO$64,1)+COUNTIF($J$56:$BO$64,2)),0)</f>
        <v>0.8618421053</v>
      </c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</row>
    <row r="56">
      <c r="A56" s="1"/>
      <c r="B56" s="33" t="s">
        <v>174</v>
      </c>
      <c r="C56" s="33" t="s">
        <v>175</v>
      </c>
      <c r="D56" s="34" t="s">
        <v>176</v>
      </c>
      <c r="E56" s="42" t="s">
        <v>73</v>
      </c>
      <c r="F56" s="47">
        <v>46251.0</v>
      </c>
      <c r="G56" s="47">
        <v>46266.0</v>
      </c>
      <c r="H56" s="37">
        <f t="shared" ref="H56:H64" si="11">IF(OR($F56="",$G56=""),"",$G56-$F56+1)</f>
        <v>16</v>
      </c>
      <c r="I56" s="38">
        <f t="shared" ref="I56:I64" si="12">IFERROR(COUNTIF($J56:$BO56,2)/(COUNTIF($J56:$BO56,1)+COUNTIF($J56:$BO56,2)),0)</f>
        <v>1</v>
      </c>
      <c r="J56" s="39"/>
      <c r="K56" s="39"/>
      <c r="L56" s="39"/>
      <c r="M56" s="39"/>
      <c r="N56" s="39"/>
      <c r="O56" s="40"/>
      <c r="P56" s="40"/>
      <c r="Q56" s="41">
        <v>2.0</v>
      </c>
      <c r="R56" s="41">
        <v>2.0</v>
      </c>
      <c r="S56" s="41">
        <v>2.0</v>
      </c>
      <c r="T56" s="41">
        <v>2.0</v>
      </c>
      <c r="U56" s="41">
        <v>2.0</v>
      </c>
      <c r="V56" s="41">
        <v>2.0</v>
      </c>
      <c r="W56" s="41">
        <v>2.0</v>
      </c>
      <c r="X56" s="41">
        <v>2.0</v>
      </c>
      <c r="Y56" s="41">
        <v>2.0</v>
      </c>
      <c r="Z56" s="41">
        <v>2.0</v>
      </c>
      <c r="AA56" s="41">
        <v>2.0</v>
      </c>
      <c r="AB56" s="41">
        <v>2.0</v>
      </c>
      <c r="AC56" s="41">
        <v>2.0</v>
      </c>
      <c r="AD56" s="41">
        <v>2.0</v>
      </c>
      <c r="AE56" s="41">
        <v>2.0</v>
      </c>
      <c r="AF56" s="41">
        <v>2.0</v>
      </c>
      <c r="AG56" s="51"/>
      <c r="AH56" s="51"/>
      <c r="AI56" s="51"/>
      <c r="AJ56" s="40"/>
      <c r="AK56" s="40"/>
      <c r="AL56" s="39"/>
      <c r="AM56" s="39"/>
      <c r="AN56" s="39"/>
      <c r="AO56" s="39"/>
      <c r="AP56" s="39"/>
      <c r="AQ56" s="40"/>
      <c r="AR56" s="40"/>
      <c r="AS56" s="39"/>
      <c r="AT56" s="39"/>
      <c r="AU56" s="39"/>
      <c r="AV56" s="39"/>
      <c r="AW56" s="39"/>
      <c r="AX56" s="40"/>
      <c r="AY56" s="40"/>
      <c r="AZ56" s="39"/>
      <c r="BA56" s="39"/>
      <c r="BB56" s="39"/>
      <c r="BC56" s="39"/>
      <c r="BD56" s="39"/>
      <c r="BE56" s="40"/>
      <c r="BF56" s="40"/>
      <c r="BG56" s="39"/>
      <c r="BH56" s="39"/>
      <c r="BI56" s="39"/>
      <c r="BJ56" s="39"/>
      <c r="BK56" s="39"/>
      <c r="BL56" s="40"/>
      <c r="BM56" s="40"/>
      <c r="BN56" s="39"/>
      <c r="BO56" s="39"/>
    </row>
    <row r="57">
      <c r="A57" s="1"/>
      <c r="B57" s="33" t="s">
        <v>177</v>
      </c>
      <c r="C57" s="33" t="s">
        <v>178</v>
      </c>
      <c r="D57" s="34" t="s">
        <v>179</v>
      </c>
      <c r="E57" s="42" t="s">
        <v>73</v>
      </c>
      <c r="F57" s="47">
        <v>46251.0</v>
      </c>
      <c r="G57" s="47">
        <v>46266.0</v>
      </c>
      <c r="H57" s="37">
        <f t="shared" si="11"/>
        <v>16</v>
      </c>
      <c r="I57" s="38">
        <f t="shared" si="12"/>
        <v>1</v>
      </c>
      <c r="J57" s="39"/>
      <c r="K57" s="39"/>
      <c r="L57" s="39"/>
      <c r="M57" s="39"/>
      <c r="N57" s="39"/>
      <c r="O57" s="40"/>
      <c r="P57" s="40"/>
      <c r="Q57" s="41">
        <v>2.0</v>
      </c>
      <c r="R57" s="41">
        <v>2.0</v>
      </c>
      <c r="S57" s="41">
        <v>2.0</v>
      </c>
      <c r="T57" s="41">
        <v>2.0</v>
      </c>
      <c r="U57" s="41">
        <v>2.0</v>
      </c>
      <c r="V57" s="41">
        <v>2.0</v>
      </c>
      <c r="W57" s="41">
        <v>2.0</v>
      </c>
      <c r="X57" s="41">
        <v>2.0</v>
      </c>
      <c r="Y57" s="41">
        <v>2.0</v>
      </c>
      <c r="Z57" s="41">
        <v>2.0</v>
      </c>
      <c r="AA57" s="41">
        <v>2.0</v>
      </c>
      <c r="AB57" s="41">
        <v>2.0</v>
      </c>
      <c r="AC57" s="41">
        <v>2.0</v>
      </c>
      <c r="AD57" s="41">
        <v>2.0</v>
      </c>
      <c r="AE57" s="41">
        <v>2.0</v>
      </c>
      <c r="AF57" s="41">
        <v>2.0</v>
      </c>
      <c r="AG57" s="51"/>
      <c r="AH57" s="51"/>
      <c r="AI57" s="51"/>
      <c r="AJ57" s="40"/>
      <c r="AK57" s="40"/>
      <c r="AL57" s="39"/>
      <c r="AM57" s="39"/>
      <c r="AN57" s="39"/>
      <c r="AO57" s="39"/>
      <c r="AP57" s="39"/>
      <c r="AQ57" s="40"/>
      <c r="AR57" s="40"/>
      <c r="AS57" s="39"/>
      <c r="AT57" s="39"/>
      <c r="AU57" s="39"/>
      <c r="AV57" s="39"/>
      <c r="AW57" s="39"/>
      <c r="AX57" s="40"/>
      <c r="AY57" s="40"/>
      <c r="AZ57" s="39"/>
      <c r="BA57" s="39"/>
      <c r="BB57" s="39"/>
      <c r="BC57" s="39"/>
      <c r="BD57" s="39"/>
      <c r="BE57" s="40"/>
      <c r="BF57" s="40"/>
      <c r="BG57" s="39"/>
      <c r="BH57" s="39"/>
      <c r="BI57" s="39"/>
      <c r="BJ57" s="39"/>
      <c r="BK57" s="39"/>
      <c r="BL57" s="40"/>
      <c r="BM57" s="40"/>
      <c r="BN57" s="39"/>
      <c r="BO57" s="39"/>
    </row>
    <row r="58">
      <c r="A58" s="1"/>
      <c r="B58" s="33" t="s">
        <v>180</v>
      </c>
      <c r="C58" s="33" t="s">
        <v>181</v>
      </c>
      <c r="D58" s="34" t="s">
        <v>182</v>
      </c>
      <c r="E58" s="42" t="s">
        <v>73</v>
      </c>
      <c r="F58" s="47">
        <v>46251.0</v>
      </c>
      <c r="G58" s="47">
        <v>46266.0</v>
      </c>
      <c r="H58" s="37">
        <f t="shared" si="11"/>
        <v>16</v>
      </c>
      <c r="I58" s="38">
        <f t="shared" si="12"/>
        <v>1</v>
      </c>
      <c r="J58" s="39"/>
      <c r="K58" s="39"/>
      <c r="L58" s="39"/>
      <c r="M58" s="39"/>
      <c r="N58" s="39"/>
      <c r="O58" s="40"/>
      <c r="P58" s="40"/>
      <c r="Q58" s="41">
        <v>2.0</v>
      </c>
      <c r="R58" s="41">
        <v>2.0</v>
      </c>
      <c r="S58" s="41">
        <v>2.0</v>
      </c>
      <c r="T58" s="41">
        <v>2.0</v>
      </c>
      <c r="U58" s="41">
        <v>2.0</v>
      </c>
      <c r="V58" s="41">
        <v>2.0</v>
      </c>
      <c r="W58" s="41">
        <v>2.0</v>
      </c>
      <c r="X58" s="41">
        <v>2.0</v>
      </c>
      <c r="Y58" s="41">
        <v>2.0</v>
      </c>
      <c r="Z58" s="41">
        <v>2.0</v>
      </c>
      <c r="AA58" s="41">
        <v>2.0</v>
      </c>
      <c r="AB58" s="41">
        <v>2.0</v>
      </c>
      <c r="AC58" s="41">
        <v>2.0</v>
      </c>
      <c r="AD58" s="41">
        <v>2.0</v>
      </c>
      <c r="AE58" s="41">
        <v>2.0</v>
      </c>
      <c r="AF58" s="41">
        <v>2.0</v>
      </c>
      <c r="AG58" s="39"/>
      <c r="AH58" s="39"/>
      <c r="AI58" s="39"/>
      <c r="AJ58" s="40"/>
      <c r="AK58" s="40"/>
      <c r="AL58" s="39"/>
      <c r="AM58" s="39"/>
      <c r="AN58" s="39"/>
      <c r="AO58" s="39"/>
      <c r="AP58" s="39"/>
      <c r="AQ58" s="40"/>
      <c r="AR58" s="40"/>
      <c r="AS58" s="39"/>
      <c r="AT58" s="39"/>
      <c r="AU58" s="39"/>
      <c r="AV58" s="39"/>
      <c r="AW58" s="39"/>
      <c r="AX58" s="40"/>
      <c r="AY58" s="40"/>
      <c r="AZ58" s="39"/>
      <c r="BA58" s="39"/>
      <c r="BB58" s="39"/>
      <c r="BC58" s="39"/>
      <c r="BD58" s="39"/>
      <c r="BE58" s="40"/>
      <c r="BF58" s="40"/>
      <c r="BG58" s="39"/>
      <c r="BH58" s="39"/>
      <c r="BI58" s="39"/>
      <c r="BJ58" s="39"/>
      <c r="BK58" s="39"/>
      <c r="BL58" s="40"/>
      <c r="BM58" s="40"/>
      <c r="BN58" s="39"/>
      <c r="BO58" s="39"/>
    </row>
    <row r="59">
      <c r="A59" s="1"/>
      <c r="B59" s="33" t="s">
        <v>183</v>
      </c>
      <c r="C59" s="33" t="s">
        <v>184</v>
      </c>
      <c r="D59" s="34" t="s">
        <v>185</v>
      </c>
      <c r="E59" s="42" t="s">
        <v>73</v>
      </c>
      <c r="F59" s="47">
        <v>46251.0</v>
      </c>
      <c r="G59" s="47">
        <v>46266.0</v>
      </c>
      <c r="H59" s="37">
        <f t="shared" si="11"/>
        <v>16</v>
      </c>
      <c r="I59" s="38">
        <f t="shared" si="12"/>
        <v>1</v>
      </c>
      <c r="J59" s="39"/>
      <c r="K59" s="39"/>
      <c r="L59" s="39"/>
      <c r="M59" s="39"/>
      <c r="N59" s="39"/>
      <c r="O59" s="40"/>
      <c r="P59" s="40"/>
      <c r="Q59" s="41">
        <v>2.0</v>
      </c>
      <c r="R59" s="41">
        <v>2.0</v>
      </c>
      <c r="S59" s="41">
        <v>2.0</v>
      </c>
      <c r="T59" s="41">
        <v>2.0</v>
      </c>
      <c r="U59" s="41">
        <v>2.0</v>
      </c>
      <c r="V59" s="41">
        <v>2.0</v>
      </c>
      <c r="W59" s="41">
        <v>2.0</v>
      </c>
      <c r="X59" s="41">
        <v>2.0</v>
      </c>
      <c r="Y59" s="41">
        <v>2.0</v>
      </c>
      <c r="Z59" s="41">
        <v>2.0</v>
      </c>
      <c r="AA59" s="41">
        <v>2.0</v>
      </c>
      <c r="AB59" s="41">
        <v>2.0</v>
      </c>
      <c r="AC59" s="41">
        <v>2.0</v>
      </c>
      <c r="AD59" s="41">
        <v>2.0</v>
      </c>
      <c r="AE59" s="41">
        <v>2.0</v>
      </c>
      <c r="AF59" s="41">
        <v>2.0</v>
      </c>
      <c r="AG59" s="39"/>
      <c r="AH59" s="39"/>
      <c r="AI59" s="39"/>
      <c r="AJ59" s="40"/>
      <c r="AK59" s="40"/>
      <c r="AL59" s="39"/>
      <c r="AM59" s="39"/>
      <c r="AN59" s="39"/>
      <c r="AO59" s="39"/>
      <c r="AP59" s="39"/>
      <c r="AQ59" s="40"/>
      <c r="AR59" s="40"/>
      <c r="AS59" s="39"/>
      <c r="AT59" s="39"/>
      <c r="AU59" s="39"/>
      <c r="AV59" s="39"/>
      <c r="AW59" s="39"/>
      <c r="AX59" s="40"/>
      <c r="AY59" s="40"/>
      <c r="AZ59" s="39"/>
      <c r="BA59" s="39"/>
      <c r="BB59" s="39"/>
      <c r="BC59" s="39"/>
      <c r="BD59" s="39"/>
      <c r="BE59" s="40"/>
      <c r="BF59" s="40"/>
      <c r="BG59" s="39"/>
      <c r="BH59" s="39"/>
      <c r="BI59" s="39"/>
      <c r="BJ59" s="39"/>
      <c r="BK59" s="39"/>
      <c r="BL59" s="40"/>
      <c r="BM59" s="40"/>
      <c r="BN59" s="39"/>
      <c r="BO59" s="39"/>
    </row>
    <row r="60">
      <c r="A60" s="1"/>
      <c r="B60" s="33" t="s">
        <v>186</v>
      </c>
      <c r="C60" s="33" t="s">
        <v>187</v>
      </c>
      <c r="D60" s="34" t="s">
        <v>188</v>
      </c>
      <c r="E60" s="42" t="s">
        <v>73</v>
      </c>
      <c r="F60" s="47">
        <v>46251.0</v>
      </c>
      <c r="G60" s="47">
        <v>46266.0</v>
      </c>
      <c r="H60" s="37">
        <f t="shared" si="11"/>
        <v>16</v>
      </c>
      <c r="I60" s="38">
        <f t="shared" si="12"/>
        <v>1</v>
      </c>
      <c r="J60" s="39"/>
      <c r="K60" s="39"/>
      <c r="L60" s="39"/>
      <c r="M60" s="39"/>
      <c r="N60" s="39"/>
      <c r="O60" s="40"/>
      <c r="P60" s="40"/>
      <c r="Q60" s="41">
        <v>2.0</v>
      </c>
      <c r="R60" s="41">
        <v>2.0</v>
      </c>
      <c r="S60" s="41">
        <v>2.0</v>
      </c>
      <c r="T60" s="41">
        <v>2.0</v>
      </c>
      <c r="U60" s="41">
        <v>2.0</v>
      </c>
      <c r="V60" s="41">
        <v>2.0</v>
      </c>
      <c r="W60" s="41">
        <v>2.0</v>
      </c>
      <c r="X60" s="41">
        <v>2.0</v>
      </c>
      <c r="Y60" s="41">
        <v>2.0</v>
      </c>
      <c r="Z60" s="41">
        <v>2.0</v>
      </c>
      <c r="AA60" s="41">
        <v>2.0</v>
      </c>
      <c r="AB60" s="41">
        <v>2.0</v>
      </c>
      <c r="AC60" s="41">
        <v>2.0</v>
      </c>
      <c r="AD60" s="41">
        <v>2.0</v>
      </c>
      <c r="AE60" s="41">
        <v>2.0</v>
      </c>
      <c r="AF60" s="41">
        <v>2.0</v>
      </c>
      <c r="AG60" s="39"/>
      <c r="AH60" s="39"/>
      <c r="AI60" s="39"/>
      <c r="AJ60" s="40"/>
      <c r="AK60" s="40"/>
      <c r="AL60" s="39"/>
      <c r="AM60" s="39"/>
      <c r="AN60" s="39"/>
      <c r="AO60" s="39"/>
      <c r="AP60" s="39"/>
      <c r="AQ60" s="40"/>
      <c r="AR60" s="40"/>
      <c r="AS60" s="39"/>
      <c r="AT60" s="39"/>
      <c r="AU60" s="39"/>
      <c r="AV60" s="39"/>
      <c r="AW60" s="39"/>
      <c r="AX60" s="40"/>
      <c r="AY60" s="40"/>
      <c r="AZ60" s="39"/>
      <c r="BA60" s="39"/>
      <c r="BB60" s="39"/>
      <c r="BC60" s="39"/>
      <c r="BD60" s="39"/>
      <c r="BE60" s="40"/>
      <c r="BF60" s="40"/>
      <c r="BG60" s="39"/>
      <c r="BH60" s="39"/>
      <c r="BI60" s="39"/>
      <c r="BJ60" s="39"/>
      <c r="BK60" s="39"/>
      <c r="BL60" s="40"/>
      <c r="BM60" s="40"/>
      <c r="BN60" s="39"/>
      <c r="BO60" s="39"/>
    </row>
    <row r="61">
      <c r="A61" s="1"/>
      <c r="B61" s="33" t="s">
        <v>189</v>
      </c>
      <c r="C61" s="33" t="s">
        <v>190</v>
      </c>
      <c r="D61" s="34" t="s">
        <v>191</v>
      </c>
      <c r="E61" s="42" t="s">
        <v>73</v>
      </c>
      <c r="F61" s="47">
        <v>46251.0</v>
      </c>
      <c r="G61" s="47">
        <v>46266.0</v>
      </c>
      <c r="H61" s="37">
        <f t="shared" si="11"/>
        <v>16</v>
      </c>
      <c r="I61" s="38">
        <f t="shared" si="12"/>
        <v>1</v>
      </c>
      <c r="J61" s="39"/>
      <c r="K61" s="39"/>
      <c r="L61" s="39"/>
      <c r="M61" s="39"/>
      <c r="N61" s="39"/>
      <c r="O61" s="40"/>
      <c r="P61" s="40"/>
      <c r="Q61" s="41">
        <v>2.0</v>
      </c>
      <c r="R61" s="41">
        <v>2.0</v>
      </c>
      <c r="S61" s="41">
        <v>2.0</v>
      </c>
      <c r="T61" s="41">
        <v>2.0</v>
      </c>
      <c r="U61" s="41">
        <v>2.0</v>
      </c>
      <c r="V61" s="41">
        <v>2.0</v>
      </c>
      <c r="W61" s="41">
        <v>2.0</v>
      </c>
      <c r="X61" s="41">
        <v>2.0</v>
      </c>
      <c r="Y61" s="41">
        <v>2.0</v>
      </c>
      <c r="Z61" s="41">
        <v>2.0</v>
      </c>
      <c r="AA61" s="41">
        <v>2.0</v>
      </c>
      <c r="AB61" s="41">
        <v>2.0</v>
      </c>
      <c r="AC61" s="41">
        <v>2.0</v>
      </c>
      <c r="AD61" s="41">
        <v>2.0</v>
      </c>
      <c r="AE61" s="41">
        <v>2.0</v>
      </c>
      <c r="AF61" s="41">
        <v>2.0</v>
      </c>
      <c r="AG61" s="39"/>
      <c r="AH61" s="39"/>
      <c r="AI61" s="39"/>
      <c r="AJ61" s="40"/>
      <c r="AK61" s="40"/>
      <c r="AL61" s="39"/>
      <c r="AM61" s="39"/>
      <c r="AN61" s="39"/>
      <c r="AO61" s="39"/>
      <c r="AP61" s="39"/>
      <c r="AQ61" s="40"/>
      <c r="AR61" s="40"/>
      <c r="AS61" s="39"/>
      <c r="AT61" s="39"/>
      <c r="AU61" s="39"/>
      <c r="AV61" s="39"/>
      <c r="AW61" s="39"/>
      <c r="AX61" s="40"/>
      <c r="AY61" s="40"/>
      <c r="AZ61" s="39"/>
      <c r="BA61" s="39"/>
      <c r="BB61" s="39"/>
      <c r="BC61" s="39"/>
      <c r="BD61" s="39"/>
      <c r="BE61" s="40"/>
      <c r="BF61" s="40"/>
      <c r="BG61" s="39"/>
      <c r="BH61" s="39"/>
      <c r="BI61" s="39"/>
      <c r="BJ61" s="39"/>
      <c r="BK61" s="39"/>
      <c r="BL61" s="40"/>
      <c r="BM61" s="40"/>
      <c r="BN61" s="39"/>
      <c r="BO61" s="39"/>
    </row>
    <row r="62">
      <c r="A62" s="1"/>
      <c r="B62" s="33" t="s">
        <v>192</v>
      </c>
      <c r="C62" s="33" t="s">
        <v>193</v>
      </c>
      <c r="D62" s="34" t="s">
        <v>194</v>
      </c>
      <c r="E62" s="42" t="s">
        <v>73</v>
      </c>
      <c r="F62" s="47">
        <v>46251.0</v>
      </c>
      <c r="G62" s="47">
        <v>46266.0</v>
      </c>
      <c r="H62" s="37">
        <f t="shared" si="11"/>
        <v>16</v>
      </c>
      <c r="I62" s="38">
        <f t="shared" si="12"/>
        <v>1</v>
      </c>
      <c r="J62" s="39"/>
      <c r="K62" s="39"/>
      <c r="L62" s="39"/>
      <c r="M62" s="39"/>
      <c r="N62" s="39"/>
      <c r="O62" s="40"/>
      <c r="P62" s="40"/>
      <c r="Q62" s="41">
        <v>2.0</v>
      </c>
      <c r="R62" s="41">
        <v>2.0</v>
      </c>
      <c r="S62" s="41">
        <v>2.0</v>
      </c>
      <c r="T62" s="41">
        <v>2.0</v>
      </c>
      <c r="U62" s="41">
        <v>2.0</v>
      </c>
      <c r="V62" s="41">
        <v>2.0</v>
      </c>
      <c r="W62" s="41">
        <v>2.0</v>
      </c>
      <c r="X62" s="41">
        <v>2.0</v>
      </c>
      <c r="Y62" s="41">
        <v>2.0</v>
      </c>
      <c r="Z62" s="41">
        <v>2.0</v>
      </c>
      <c r="AA62" s="41">
        <v>2.0</v>
      </c>
      <c r="AB62" s="41">
        <v>2.0</v>
      </c>
      <c r="AC62" s="41">
        <v>2.0</v>
      </c>
      <c r="AD62" s="41">
        <v>2.0</v>
      </c>
      <c r="AE62" s="41">
        <v>2.0</v>
      </c>
      <c r="AF62" s="41">
        <v>2.0</v>
      </c>
      <c r="AG62" s="39"/>
      <c r="AH62" s="39"/>
      <c r="AI62" s="39"/>
      <c r="AJ62" s="40"/>
      <c r="AK62" s="40"/>
      <c r="AL62" s="39"/>
      <c r="AM62" s="39"/>
      <c r="AN62" s="39"/>
      <c r="AO62" s="39"/>
      <c r="AP62" s="39"/>
      <c r="AQ62" s="40"/>
      <c r="AR62" s="40"/>
      <c r="AS62" s="39"/>
      <c r="AT62" s="39"/>
      <c r="AU62" s="39"/>
      <c r="AV62" s="39"/>
      <c r="AW62" s="39"/>
      <c r="AX62" s="40"/>
      <c r="AY62" s="40"/>
      <c r="AZ62" s="39"/>
      <c r="BA62" s="39"/>
      <c r="BB62" s="39"/>
      <c r="BC62" s="39"/>
      <c r="BD62" s="39"/>
      <c r="BE62" s="40"/>
      <c r="BF62" s="40"/>
      <c r="BG62" s="39"/>
      <c r="BH62" s="39"/>
      <c r="BI62" s="39"/>
      <c r="BJ62" s="39"/>
      <c r="BK62" s="39"/>
      <c r="BL62" s="40"/>
      <c r="BM62" s="40"/>
      <c r="BN62" s="39"/>
      <c r="BO62" s="39"/>
    </row>
    <row r="63">
      <c r="A63" s="1"/>
      <c r="B63" s="33" t="s">
        <v>195</v>
      </c>
      <c r="C63" s="33" t="s">
        <v>196</v>
      </c>
      <c r="D63" s="34" t="s">
        <v>197</v>
      </c>
      <c r="E63" s="42" t="s">
        <v>73</v>
      </c>
      <c r="F63" s="47">
        <v>46251.0</v>
      </c>
      <c r="G63" s="47">
        <v>46266.0</v>
      </c>
      <c r="H63" s="37">
        <f t="shared" si="11"/>
        <v>16</v>
      </c>
      <c r="I63" s="38">
        <f t="shared" si="12"/>
        <v>1</v>
      </c>
      <c r="J63" s="39"/>
      <c r="K63" s="39"/>
      <c r="L63" s="39"/>
      <c r="M63" s="39"/>
      <c r="N63" s="39"/>
      <c r="O63" s="40"/>
      <c r="P63" s="40"/>
      <c r="Q63" s="41">
        <v>2.0</v>
      </c>
      <c r="R63" s="41">
        <v>2.0</v>
      </c>
      <c r="S63" s="41">
        <v>2.0</v>
      </c>
      <c r="T63" s="41">
        <v>2.0</v>
      </c>
      <c r="U63" s="41">
        <v>2.0</v>
      </c>
      <c r="V63" s="41">
        <v>2.0</v>
      </c>
      <c r="W63" s="41">
        <v>2.0</v>
      </c>
      <c r="X63" s="41">
        <v>2.0</v>
      </c>
      <c r="Y63" s="41">
        <v>2.0</v>
      </c>
      <c r="Z63" s="41">
        <v>2.0</v>
      </c>
      <c r="AA63" s="41">
        <v>2.0</v>
      </c>
      <c r="AB63" s="41">
        <v>2.0</v>
      </c>
      <c r="AC63" s="41">
        <v>2.0</v>
      </c>
      <c r="AD63" s="41">
        <v>2.0</v>
      </c>
      <c r="AE63" s="41">
        <v>2.0</v>
      </c>
      <c r="AF63" s="41">
        <v>2.0</v>
      </c>
      <c r="AG63" s="39"/>
      <c r="AH63" s="39"/>
      <c r="AI63" s="39"/>
      <c r="AJ63" s="40"/>
      <c r="AK63" s="40"/>
      <c r="AL63" s="39"/>
      <c r="AM63" s="39"/>
      <c r="AN63" s="39"/>
      <c r="AO63" s="39"/>
      <c r="AP63" s="39"/>
      <c r="AQ63" s="40"/>
      <c r="AR63" s="40"/>
      <c r="AS63" s="39"/>
      <c r="AT63" s="39"/>
      <c r="AU63" s="39"/>
      <c r="AV63" s="39"/>
      <c r="AW63" s="39"/>
      <c r="AX63" s="40"/>
      <c r="AY63" s="40"/>
      <c r="AZ63" s="39"/>
      <c r="BA63" s="39"/>
      <c r="BB63" s="39"/>
      <c r="BC63" s="39"/>
      <c r="BD63" s="39"/>
      <c r="BE63" s="40"/>
      <c r="BF63" s="40"/>
      <c r="BG63" s="39"/>
      <c r="BH63" s="39"/>
      <c r="BI63" s="39"/>
      <c r="BJ63" s="39"/>
      <c r="BK63" s="39"/>
      <c r="BL63" s="40"/>
      <c r="BM63" s="40"/>
      <c r="BN63" s="39"/>
      <c r="BO63" s="39"/>
    </row>
    <row r="64">
      <c r="A64" s="1"/>
      <c r="B64" s="33" t="s">
        <v>198</v>
      </c>
      <c r="C64" s="33" t="s">
        <v>199</v>
      </c>
      <c r="D64" s="34" t="s">
        <v>200</v>
      </c>
      <c r="E64" s="42" t="s">
        <v>73</v>
      </c>
      <c r="F64" s="47">
        <v>46265.0</v>
      </c>
      <c r="G64" s="36">
        <v>46288.0</v>
      </c>
      <c r="H64" s="37">
        <f t="shared" si="11"/>
        <v>24</v>
      </c>
      <c r="I64" s="38">
        <f t="shared" si="12"/>
        <v>0.125</v>
      </c>
      <c r="J64" s="39"/>
      <c r="K64" s="39"/>
      <c r="L64" s="39"/>
      <c r="M64" s="39"/>
      <c r="N64" s="39"/>
      <c r="O64" s="40"/>
      <c r="P64" s="40"/>
      <c r="Q64" s="39"/>
      <c r="R64" s="39"/>
      <c r="S64" s="39"/>
      <c r="T64" s="39"/>
      <c r="U64" s="39"/>
      <c r="V64" s="40"/>
      <c r="W64" s="40"/>
      <c r="X64" s="39"/>
      <c r="Y64" s="39"/>
      <c r="Z64" s="39"/>
      <c r="AA64" s="39"/>
      <c r="AB64" s="39"/>
      <c r="AC64" s="40"/>
      <c r="AD64" s="40"/>
      <c r="AE64" s="41">
        <v>2.0</v>
      </c>
      <c r="AF64" s="41">
        <v>2.0</v>
      </c>
      <c r="AG64" s="41">
        <v>2.0</v>
      </c>
      <c r="AH64" s="41">
        <v>1.0</v>
      </c>
      <c r="AI64" s="41">
        <v>1.0</v>
      </c>
      <c r="AJ64" s="41">
        <v>1.0</v>
      </c>
      <c r="AK64" s="41">
        <v>1.0</v>
      </c>
      <c r="AL64" s="41">
        <v>1.0</v>
      </c>
      <c r="AM64" s="41">
        <v>1.0</v>
      </c>
      <c r="AN64" s="41">
        <v>1.0</v>
      </c>
      <c r="AO64" s="41">
        <v>1.0</v>
      </c>
      <c r="AP64" s="41">
        <v>1.0</v>
      </c>
      <c r="AQ64" s="41">
        <v>1.0</v>
      </c>
      <c r="AR64" s="41">
        <v>1.0</v>
      </c>
      <c r="AS64" s="41">
        <v>1.0</v>
      </c>
      <c r="AT64" s="41">
        <v>1.0</v>
      </c>
      <c r="AU64" s="41">
        <v>1.0</v>
      </c>
      <c r="AV64" s="41">
        <v>1.0</v>
      </c>
      <c r="AW64" s="41">
        <v>1.0</v>
      </c>
      <c r="AX64" s="41">
        <v>1.0</v>
      </c>
      <c r="AY64" s="41">
        <v>1.0</v>
      </c>
      <c r="AZ64" s="41">
        <v>1.0</v>
      </c>
      <c r="BA64" s="41">
        <v>1.0</v>
      </c>
      <c r="BB64" s="41">
        <v>1.0</v>
      </c>
      <c r="BC64" s="39"/>
      <c r="BD64" s="39"/>
      <c r="BE64" s="40"/>
      <c r="BF64" s="40"/>
      <c r="BG64" s="39"/>
      <c r="BH64" s="39"/>
      <c r="BI64" s="39"/>
      <c r="BJ64" s="39"/>
      <c r="BK64" s="39"/>
      <c r="BL64" s="40"/>
      <c r="BM64" s="40"/>
      <c r="BN64" s="39"/>
      <c r="BO64" s="39"/>
    </row>
    <row r="65">
      <c r="A65" s="1"/>
      <c r="B65" s="28" t="s">
        <v>201</v>
      </c>
      <c r="C65" s="28" t="s">
        <v>202</v>
      </c>
      <c r="D65" s="29"/>
      <c r="E65" s="29"/>
      <c r="F65" s="30">
        <f>MIN(F66:F73)</f>
        <v>46279</v>
      </c>
      <c r="G65" s="30">
        <f>MAX(G66:G73)</f>
        <v>46293</v>
      </c>
      <c r="H65" s="31">
        <f>G65-F65+1</f>
        <v>15</v>
      </c>
      <c r="I65" s="32">
        <f>IFERROR(COUNTIF($J$66:$BO$73,2)/(COUNTIF($J$66:$BO$73,1)+COUNTIF($J$66:$BO$73,2)),0)</f>
        <v>0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</row>
    <row r="66">
      <c r="A66" s="1"/>
      <c r="B66" s="33" t="s">
        <v>203</v>
      </c>
      <c r="C66" s="33" t="s">
        <v>204</v>
      </c>
      <c r="D66" s="34" t="s">
        <v>205</v>
      </c>
      <c r="E66" s="35" t="s">
        <v>43</v>
      </c>
      <c r="F66" s="36">
        <v>46279.0</v>
      </c>
      <c r="G66" s="36">
        <v>46287.0</v>
      </c>
      <c r="H66" s="37">
        <f t="shared" ref="H66:H73" si="13">IF(OR($F66="",$G66=""),"",$G66-$F66+1)</f>
        <v>9</v>
      </c>
      <c r="I66" s="38">
        <f t="shared" ref="I66:I73" si="14">IFERROR(COUNTIF($J66:$BO66,2)/(COUNTIF($J66:$BO66,1)+COUNTIF($J66:$BO66,2)),0)</f>
        <v>0</v>
      </c>
      <c r="J66" s="39"/>
      <c r="K66" s="39"/>
      <c r="L66" s="39"/>
      <c r="M66" s="39"/>
      <c r="N66" s="39"/>
      <c r="O66" s="40"/>
      <c r="P66" s="40"/>
      <c r="Q66" s="39"/>
      <c r="R66" s="39"/>
      <c r="S66" s="39"/>
      <c r="T66" s="39"/>
      <c r="U66" s="39"/>
      <c r="V66" s="40"/>
      <c r="W66" s="40"/>
      <c r="X66" s="39"/>
      <c r="Y66" s="39"/>
      <c r="Z66" s="39"/>
      <c r="AA66" s="39"/>
      <c r="AB66" s="39"/>
      <c r="AC66" s="40"/>
      <c r="AD66" s="40"/>
      <c r="AE66" s="39"/>
      <c r="AF66" s="39"/>
      <c r="AG66" s="39"/>
      <c r="AH66" s="39"/>
      <c r="AI66" s="39"/>
      <c r="AJ66" s="40"/>
      <c r="AK66" s="40"/>
      <c r="AL66" s="39"/>
      <c r="AM66" s="39"/>
      <c r="AN66" s="39"/>
      <c r="AO66" s="39"/>
      <c r="AP66" s="39"/>
      <c r="AQ66" s="40"/>
      <c r="AR66" s="40"/>
      <c r="AS66" s="41">
        <v>1.0</v>
      </c>
      <c r="AT66" s="41">
        <v>1.0</v>
      </c>
      <c r="AU66" s="41">
        <v>1.0</v>
      </c>
      <c r="AV66" s="41">
        <v>1.0</v>
      </c>
      <c r="AW66" s="41">
        <v>1.0</v>
      </c>
      <c r="AX66" s="41">
        <v>1.0</v>
      </c>
      <c r="AY66" s="41">
        <v>1.0</v>
      </c>
      <c r="AZ66" s="41">
        <v>1.0</v>
      </c>
      <c r="BA66" s="41">
        <v>1.0</v>
      </c>
      <c r="BB66" s="39"/>
      <c r="BC66" s="39"/>
      <c r="BD66" s="39"/>
      <c r="BE66" s="40"/>
      <c r="BF66" s="40"/>
      <c r="BG66" s="39"/>
      <c r="BH66" s="39"/>
      <c r="BI66" s="39"/>
      <c r="BJ66" s="39"/>
      <c r="BK66" s="39"/>
      <c r="BL66" s="40"/>
      <c r="BM66" s="40"/>
      <c r="BN66" s="39"/>
      <c r="BO66" s="39"/>
    </row>
    <row r="67">
      <c r="A67" s="1"/>
      <c r="B67" s="33" t="s">
        <v>206</v>
      </c>
      <c r="C67" s="33" t="s">
        <v>207</v>
      </c>
      <c r="D67" s="34" t="s">
        <v>208</v>
      </c>
      <c r="E67" s="35" t="s">
        <v>43</v>
      </c>
      <c r="F67" s="36">
        <v>46283.0</v>
      </c>
      <c r="G67" s="36">
        <v>46290.0</v>
      </c>
      <c r="H67" s="37">
        <f t="shared" si="13"/>
        <v>8</v>
      </c>
      <c r="I67" s="38">
        <f t="shared" si="14"/>
        <v>0</v>
      </c>
      <c r="J67" s="39"/>
      <c r="K67" s="39"/>
      <c r="L67" s="39"/>
      <c r="M67" s="39"/>
      <c r="N67" s="39"/>
      <c r="O67" s="40"/>
      <c r="P67" s="40"/>
      <c r="Q67" s="39"/>
      <c r="R67" s="39"/>
      <c r="S67" s="39"/>
      <c r="T67" s="39"/>
      <c r="U67" s="39"/>
      <c r="V67" s="40"/>
      <c r="W67" s="40"/>
      <c r="X67" s="39"/>
      <c r="Y67" s="39"/>
      <c r="Z67" s="39"/>
      <c r="AA67" s="39"/>
      <c r="AB67" s="39"/>
      <c r="AC67" s="40"/>
      <c r="AD67" s="40"/>
      <c r="AE67" s="39"/>
      <c r="AF67" s="39"/>
      <c r="AG67" s="39"/>
      <c r="AH67" s="39"/>
      <c r="AI67" s="39"/>
      <c r="AJ67" s="40"/>
      <c r="AK67" s="40"/>
      <c r="AL67" s="39"/>
      <c r="AM67" s="39"/>
      <c r="AN67" s="39"/>
      <c r="AO67" s="39"/>
      <c r="AP67" s="39"/>
      <c r="AQ67" s="40"/>
      <c r="AR67" s="40"/>
      <c r="AS67" s="39"/>
      <c r="AT67" s="39"/>
      <c r="AU67" s="39"/>
      <c r="AV67" s="39"/>
      <c r="AW67" s="41">
        <v>1.0</v>
      </c>
      <c r="AX67" s="41">
        <v>1.0</v>
      </c>
      <c r="AY67" s="41">
        <v>1.0</v>
      </c>
      <c r="AZ67" s="41">
        <v>1.0</v>
      </c>
      <c r="BA67" s="41">
        <v>1.0</v>
      </c>
      <c r="BB67" s="41">
        <v>1.0</v>
      </c>
      <c r="BC67" s="41">
        <v>1.0</v>
      </c>
      <c r="BD67" s="41">
        <v>1.0</v>
      </c>
      <c r="BE67" s="40"/>
      <c r="BF67" s="40"/>
      <c r="BG67" s="39"/>
      <c r="BH67" s="39"/>
      <c r="BI67" s="39"/>
      <c r="BJ67" s="39"/>
      <c r="BK67" s="39"/>
      <c r="BL67" s="40"/>
      <c r="BM67" s="40"/>
      <c r="BN67" s="39"/>
      <c r="BO67" s="39"/>
    </row>
    <row r="68">
      <c r="A68" s="1"/>
      <c r="B68" s="33" t="s">
        <v>209</v>
      </c>
      <c r="C68" s="33" t="s">
        <v>210</v>
      </c>
      <c r="D68" s="34" t="s">
        <v>211</v>
      </c>
      <c r="E68" s="35" t="s">
        <v>43</v>
      </c>
      <c r="F68" s="36">
        <v>46284.0</v>
      </c>
      <c r="G68" s="36">
        <v>46290.0</v>
      </c>
      <c r="H68" s="37">
        <f t="shared" si="13"/>
        <v>7</v>
      </c>
      <c r="I68" s="38">
        <f t="shared" si="14"/>
        <v>0</v>
      </c>
      <c r="J68" s="39"/>
      <c r="K68" s="39"/>
      <c r="L68" s="39"/>
      <c r="M68" s="39"/>
      <c r="N68" s="39"/>
      <c r="O68" s="40"/>
      <c r="P68" s="40"/>
      <c r="Q68" s="39"/>
      <c r="R68" s="39"/>
      <c r="S68" s="39"/>
      <c r="T68" s="39"/>
      <c r="U68" s="39"/>
      <c r="V68" s="40"/>
      <c r="W68" s="40"/>
      <c r="X68" s="39"/>
      <c r="Y68" s="39"/>
      <c r="Z68" s="39"/>
      <c r="AA68" s="39"/>
      <c r="AB68" s="39"/>
      <c r="AC68" s="40"/>
      <c r="AD68" s="40"/>
      <c r="AE68" s="39"/>
      <c r="AF68" s="39"/>
      <c r="AG68" s="39"/>
      <c r="AH68" s="39"/>
      <c r="AI68" s="39"/>
      <c r="AJ68" s="40"/>
      <c r="AK68" s="40"/>
      <c r="AL68" s="39"/>
      <c r="AM68" s="39"/>
      <c r="AN68" s="39"/>
      <c r="AO68" s="39"/>
      <c r="AP68" s="39"/>
      <c r="AQ68" s="40"/>
      <c r="AR68" s="40"/>
      <c r="AS68" s="39"/>
      <c r="AT68" s="39"/>
      <c r="AU68" s="39"/>
      <c r="AV68" s="39"/>
      <c r="AW68" s="39"/>
      <c r="AX68" s="44">
        <v>1.0</v>
      </c>
      <c r="AY68" s="44">
        <v>1.0</v>
      </c>
      <c r="AZ68" s="44">
        <v>1.0</v>
      </c>
      <c r="BA68" s="44">
        <v>1.0</v>
      </c>
      <c r="BB68" s="44">
        <v>1.0</v>
      </c>
      <c r="BC68" s="44">
        <v>1.0</v>
      </c>
      <c r="BD68" s="44">
        <v>1.0</v>
      </c>
      <c r="BE68" s="40"/>
      <c r="BF68" s="40"/>
      <c r="BG68" s="39"/>
      <c r="BH68" s="39"/>
      <c r="BI68" s="39"/>
      <c r="BJ68" s="39"/>
      <c r="BK68" s="39"/>
      <c r="BL68" s="40"/>
      <c r="BM68" s="40"/>
      <c r="BN68" s="39"/>
      <c r="BO68" s="39"/>
    </row>
    <row r="69">
      <c r="A69" s="1"/>
      <c r="B69" s="33" t="s">
        <v>212</v>
      </c>
      <c r="C69" s="33" t="s">
        <v>213</v>
      </c>
      <c r="D69" s="34" t="s">
        <v>214</v>
      </c>
      <c r="E69" s="35" t="s">
        <v>43</v>
      </c>
      <c r="F69" s="36">
        <v>46283.0</v>
      </c>
      <c r="G69" s="36">
        <v>46289.0</v>
      </c>
      <c r="H69" s="37">
        <f t="shared" si="13"/>
        <v>7</v>
      </c>
      <c r="I69" s="38">
        <f t="shared" si="14"/>
        <v>0</v>
      </c>
      <c r="J69" s="39"/>
      <c r="K69" s="39"/>
      <c r="L69" s="39"/>
      <c r="M69" s="39"/>
      <c r="N69" s="39"/>
      <c r="O69" s="40"/>
      <c r="P69" s="40"/>
      <c r="Q69" s="39"/>
      <c r="R69" s="39"/>
      <c r="S69" s="39"/>
      <c r="T69" s="39"/>
      <c r="U69" s="39"/>
      <c r="V69" s="40"/>
      <c r="W69" s="40"/>
      <c r="X69" s="39"/>
      <c r="Y69" s="39"/>
      <c r="Z69" s="39"/>
      <c r="AA69" s="39"/>
      <c r="AB69" s="39"/>
      <c r="AC69" s="40"/>
      <c r="AD69" s="40"/>
      <c r="AE69" s="39"/>
      <c r="AF69" s="39"/>
      <c r="AG69" s="39"/>
      <c r="AH69" s="39"/>
      <c r="AI69" s="39"/>
      <c r="AJ69" s="40"/>
      <c r="AK69" s="40"/>
      <c r="AL69" s="39"/>
      <c r="AM69" s="39"/>
      <c r="AN69" s="39"/>
      <c r="AO69" s="39"/>
      <c r="AP69" s="39"/>
      <c r="AQ69" s="40"/>
      <c r="AR69" s="40"/>
      <c r="AS69" s="39"/>
      <c r="AT69" s="39"/>
      <c r="AU69" s="39"/>
      <c r="AV69" s="39"/>
      <c r="AW69" s="41">
        <v>1.0</v>
      </c>
      <c r="AX69" s="41">
        <v>1.0</v>
      </c>
      <c r="AY69" s="41">
        <v>1.0</v>
      </c>
      <c r="AZ69" s="41">
        <v>1.0</v>
      </c>
      <c r="BA69" s="41">
        <v>1.0</v>
      </c>
      <c r="BB69" s="41">
        <v>1.0</v>
      </c>
      <c r="BC69" s="41">
        <v>1.0</v>
      </c>
      <c r="BD69" s="39"/>
      <c r="BE69" s="40"/>
      <c r="BF69" s="40"/>
      <c r="BG69" s="39"/>
      <c r="BH69" s="39"/>
      <c r="BI69" s="39"/>
      <c r="BJ69" s="39"/>
      <c r="BK69" s="39"/>
      <c r="BL69" s="40"/>
      <c r="BM69" s="40"/>
      <c r="BN69" s="39"/>
      <c r="BO69" s="39"/>
    </row>
    <row r="70">
      <c r="A70" s="1"/>
      <c r="B70" s="33" t="s">
        <v>215</v>
      </c>
      <c r="C70" s="33" t="s">
        <v>216</v>
      </c>
      <c r="D70" s="34" t="s">
        <v>217</v>
      </c>
      <c r="E70" s="35" t="s">
        <v>43</v>
      </c>
      <c r="F70" s="36">
        <v>46283.0</v>
      </c>
      <c r="G70" s="36">
        <v>46289.0</v>
      </c>
      <c r="H70" s="37">
        <f t="shared" si="13"/>
        <v>7</v>
      </c>
      <c r="I70" s="38">
        <f t="shared" si="14"/>
        <v>0</v>
      </c>
      <c r="J70" s="39"/>
      <c r="K70" s="39"/>
      <c r="L70" s="39"/>
      <c r="M70" s="39"/>
      <c r="N70" s="39"/>
      <c r="O70" s="40"/>
      <c r="P70" s="40"/>
      <c r="Q70" s="39"/>
      <c r="R70" s="39"/>
      <c r="S70" s="39"/>
      <c r="T70" s="39"/>
      <c r="U70" s="39"/>
      <c r="V70" s="40"/>
      <c r="W70" s="40"/>
      <c r="X70" s="39"/>
      <c r="Y70" s="39"/>
      <c r="Z70" s="39"/>
      <c r="AA70" s="39"/>
      <c r="AB70" s="39"/>
      <c r="AC70" s="40"/>
      <c r="AD70" s="40"/>
      <c r="AE70" s="39"/>
      <c r="AF70" s="39"/>
      <c r="AG70" s="39"/>
      <c r="AH70" s="39"/>
      <c r="AI70" s="39"/>
      <c r="AJ70" s="40"/>
      <c r="AK70" s="40"/>
      <c r="AL70" s="39"/>
      <c r="AM70" s="39"/>
      <c r="AN70" s="39"/>
      <c r="AO70" s="39"/>
      <c r="AP70" s="39"/>
      <c r="AQ70" s="40"/>
      <c r="AR70" s="40"/>
      <c r="AS70" s="39"/>
      <c r="AT70" s="39"/>
      <c r="AU70" s="39"/>
      <c r="AV70" s="39"/>
      <c r="AW70" s="41">
        <v>1.0</v>
      </c>
      <c r="AX70" s="41">
        <v>1.0</v>
      </c>
      <c r="AY70" s="41">
        <v>1.0</v>
      </c>
      <c r="AZ70" s="41">
        <v>1.0</v>
      </c>
      <c r="BA70" s="41">
        <v>1.0</v>
      </c>
      <c r="BB70" s="41">
        <v>1.0</v>
      </c>
      <c r="BC70" s="41">
        <v>1.0</v>
      </c>
      <c r="BD70" s="39"/>
      <c r="BE70" s="40"/>
      <c r="BF70" s="40"/>
      <c r="BG70" s="39"/>
      <c r="BH70" s="39"/>
      <c r="BI70" s="39"/>
      <c r="BJ70" s="39"/>
      <c r="BK70" s="39"/>
      <c r="BL70" s="40"/>
      <c r="BM70" s="40"/>
      <c r="BN70" s="39"/>
      <c r="BO70" s="39"/>
    </row>
    <row r="71">
      <c r="A71" s="1"/>
      <c r="B71" s="33" t="s">
        <v>218</v>
      </c>
      <c r="C71" s="33" t="s">
        <v>219</v>
      </c>
      <c r="D71" s="34" t="s">
        <v>220</v>
      </c>
      <c r="E71" s="35" t="s">
        <v>43</v>
      </c>
      <c r="F71" s="36">
        <v>46286.0</v>
      </c>
      <c r="G71" s="36">
        <v>46290.0</v>
      </c>
      <c r="H71" s="37">
        <f t="shared" si="13"/>
        <v>5</v>
      </c>
      <c r="I71" s="38">
        <f t="shared" si="14"/>
        <v>0</v>
      </c>
      <c r="J71" s="39"/>
      <c r="K71" s="39"/>
      <c r="L71" s="39"/>
      <c r="M71" s="39"/>
      <c r="N71" s="39"/>
      <c r="O71" s="40"/>
      <c r="P71" s="40"/>
      <c r="Q71" s="39"/>
      <c r="R71" s="39"/>
      <c r="S71" s="39"/>
      <c r="T71" s="39"/>
      <c r="U71" s="39"/>
      <c r="V71" s="40"/>
      <c r="W71" s="40"/>
      <c r="X71" s="39"/>
      <c r="Y71" s="39"/>
      <c r="Z71" s="39"/>
      <c r="AA71" s="39"/>
      <c r="AB71" s="39"/>
      <c r="AC71" s="40"/>
      <c r="AD71" s="40"/>
      <c r="AE71" s="39"/>
      <c r="AF71" s="39"/>
      <c r="AG71" s="39"/>
      <c r="AH71" s="39"/>
      <c r="AI71" s="39"/>
      <c r="AJ71" s="40"/>
      <c r="AK71" s="40"/>
      <c r="AL71" s="39"/>
      <c r="AM71" s="39"/>
      <c r="AN71" s="39"/>
      <c r="AO71" s="39"/>
      <c r="AP71" s="39"/>
      <c r="AQ71" s="40"/>
      <c r="AR71" s="40"/>
      <c r="AS71" s="39"/>
      <c r="AT71" s="39"/>
      <c r="AU71" s="39"/>
      <c r="AV71" s="39"/>
      <c r="AW71" s="39"/>
      <c r="AX71" s="40"/>
      <c r="AY71" s="40"/>
      <c r="AZ71" s="41">
        <v>1.0</v>
      </c>
      <c r="BA71" s="41">
        <v>1.0</v>
      </c>
      <c r="BB71" s="41">
        <v>1.0</v>
      </c>
      <c r="BC71" s="41">
        <v>1.0</v>
      </c>
      <c r="BD71" s="41">
        <v>1.0</v>
      </c>
      <c r="BE71" s="40"/>
      <c r="BF71" s="40"/>
      <c r="BG71" s="39"/>
      <c r="BH71" s="39"/>
      <c r="BI71" s="39"/>
      <c r="BJ71" s="39"/>
      <c r="BK71" s="39"/>
      <c r="BL71" s="40"/>
      <c r="BM71" s="40"/>
      <c r="BN71" s="39"/>
      <c r="BO71" s="39"/>
    </row>
    <row r="72">
      <c r="A72" s="1"/>
      <c r="B72" s="33" t="s">
        <v>221</v>
      </c>
      <c r="C72" s="33" t="s">
        <v>222</v>
      </c>
      <c r="D72" s="34" t="s">
        <v>223</v>
      </c>
      <c r="E72" s="35" t="s">
        <v>43</v>
      </c>
      <c r="F72" s="36">
        <v>46286.0</v>
      </c>
      <c r="G72" s="36">
        <v>46293.0</v>
      </c>
      <c r="H72" s="37">
        <f t="shared" si="13"/>
        <v>8</v>
      </c>
      <c r="I72" s="38">
        <f t="shared" si="14"/>
        <v>0</v>
      </c>
      <c r="J72" s="39"/>
      <c r="K72" s="39"/>
      <c r="L72" s="39"/>
      <c r="M72" s="39"/>
      <c r="N72" s="39"/>
      <c r="O72" s="40"/>
      <c r="P72" s="40"/>
      <c r="Q72" s="39"/>
      <c r="R72" s="39"/>
      <c r="S72" s="39"/>
      <c r="T72" s="39"/>
      <c r="U72" s="39"/>
      <c r="V72" s="40"/>
      <c r="W72" s="40"/>
      <c r="X72" s="39"/>
      <c r="Y72" s="39"/>
      <c r="Z72" s="39"/>
      <c r="AA72" s="39"/>
      <c r="AB72" s="39"/>
      <c r="AC72" s="40"/>
      <c r="AD72" s="40"/>
      <c r="AE72" s="39"/>
      <c r="AF72" s="39"/>
      <c r="AG72" s="39"/>
      <c r="AH72" s="39"/>
      <c r="AI72" s="39"/>
      <c r="AJ72" s="40"/>
      <c r="AK72" s="40"/>
      <c r="AL72" s="39"/>
      <c r="AM72" s="39"/>
      <c r="AN72" s="39"/>
      <c r="AO72" s="39"/>
      <c r="AP72" s="39"/>
      <c r="AQ72" s="40"/>
      <c r="AR72" s="40"/>
      <c r="AS72" s="39"/>
      <c r="AT72" s="39"/>
      <c r="AU72" s="39"/>
      <c r="AV72" s="39"/>
      <c r="AW72" s="39"/>
      <c r="AX72" s="40"/>
      <c r="AY72" s="40"/>
      <c r="AZ72" s="41">
        <v>1.0</v>
      </c>
      <c r="BA72" s="41">
        <v>1.0</v>
      </c>
      <c r="BB72" s="41">
        <v>1.0</v>
      </c>
      <c r="BC72" s="41">
        <v>1.0</v>
      </c>
      <c r="BD72" s="41">
        <v>1.0</v>
      </c>
      <c r="BE72" s="41">
        <v>1.0</v>
      </c>
      <c r="BF72" s="41">
        <v>1.0</v>
      </c>
      <c r="BG72" s="41">
        <v>1.0</v>
      </c>
      <c r="BH72" s="39"/>
      <c r="BI72" s="39"/>
      <c r="BJ72" s="39"/>
      <c r="BK72" s="39"/>
      <c r="BL72" s="40"/>
      <c r="BM72" s="40"/>
      <c r="BN72" s="39"/>
      <c r="BO72" s="39"/>
    </row>
    <row r="73">
      <c r="A73" s="1"/>
      <c r="B73" s="33" t="s">
        <v>224</v>
      </c>
      <c r="C73" s="33" t="s">
        <v>225</v>
      </c>
      <c r="D73" s="34" t="s">
        <v>226</v>
      </c>
      <c r="E73" s="35" t="s">
        <v>43</v>
      </c>
      <c r="F73" s="36">
        <v>46286.0</v>
      </c>
      <c r="G73" s="36">
        <v>46290.0</v>
      </c>
      <c r="H73" s="37">
        <f t="shared" si="13"/>
        <v>5</v>
      </c>
      <c r="I73" s="38">
        <f t="shared" si="14"/>
        <v>0</v>
      </c>
      <c r="J73" s="39"/>
      <c r="K73" s="39"/>
      <c r="L73" s="39"/>
      <c r="M73" s="39"/>
      <c r="N73" s="39"/>
      <c r="O73" s="40"/>
      <c r="P73" s="40"/>
      <c r="Q73" s="39"/>
      <c r="R73" s="39"/>
      <c r="S73" s="39"/>
      <c r="T73" s="39"/>
      <c r="U73" s="39"/>
      <c r="V73" s="40"/>
      <c r="W73" s="40"/>
      <c r="X73" s="39"/>
      <c r="Y73" s="39"/>
      <c r="Z73" s="39"/>
      <c r="AA73" s="39"/>
      <c r="AB73" s="39"/>
      <c r="AC73" s="40"/>
      <c r="AD73" s="40"/>
      <c r="AE73" s="39"/>
      <c r="AF73" s="39"/>
      <c r="AG73" s="39"/>
      <c r="AH73" s="39"/>
      <c r="AI73" s="39"/>
      <c r="AJ73" s="40"/>
      <c r="AK73" s="40"/>
      <c r="AL73" s="39"/>
      <c r="AM73" s="39"/>
      <c r="AN73" s="39"/>
      <c r="AO73" s="39"/>
      <c r="AP73" s="39"/>
      <c r="AQ73" s="40"/>
      <c r="AR73" s="40"/>
      <c r="AS73" s="39"/>
      <c r="AT73" s="39"/>
      <c r="AU73" s="39"/>
      <c r="AV73" s="39"/>
      <c r="AW73" s="39"/>
      <c r="AX73" s="40"/>
      <c r="AY73" s="40"/>
      <c r="AZ73" s="41">
        <v>1.0</v>
      </c>
      <c r="BA73" s="41">
        <v>1.0</v>
      </c>
      <c r="BB73" s="41">
        <v>1.0</v>
      </c>
      <c r="BC73" s="41">
        <v>1.0</v>
      </c>
      <c r="BD73" s="41">
        <v>1.0</v>
      </c>
      <c r="BE73" s="40"/>
      <c r="BF73" s="40"/>
      <c r="BG73" s="39"/>
      <c r="BH73" s="39"/>
      <c r="BI73" s="39"/>
      <c r="BJ73" s="39"/>
      <c r="BK73" s="39"/>
      <c r="BL73" s="40"/>
      <c r="BM73" s="40"/>
      <c r="BN73" s="39"/>
      <c r="BO73" s="39"/>
    </row>
    <row r="74">
      <c r="A74" s="1"/>
      <c r="B74" s="28" t="s">
        <v>227</v>
      </c>
      <c r="C74" s="28" t="s">
        <v>228</v>
      </c>
      <c r="D74" s="29"/>
      <c r="E74" s="29"/>
      <c r="F74" s="30">
        <f>MIN(F75:F79)</f>
        <v>46283</v>
      </c>
      <c r="G74" s="30">
        <f>MAX(G75:G79)</f>
        <v>46297</v>
      </c>
      <c r="H74" s="31">
        <f>G74-F74+1</f>
        <v>15</v>
      </c>
      <c r="I74" s="32">
        <f>IFERROR(COUNTIF($J$75:$BO$79,2)/(COUNTIF($J$75:$BO$79,1)+COUNTIF($J$75:$BO$79,2)),0)</f>
        <v>0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</row>
    <row r="75">
      <c r="A75" s="1"/>
      <c r="B75" s="33" t="s">
        <v>229</v>
      </c>
      <c r="C75" s="33" t="s">
        <v>230</v>
      </c>
      <c r="D75" s="34" t="s">
        <v>231</v>
      </c>
      <c r="E75" s="42" t="s">
        <v>43</v>
      </c>
      <c r="F75" s="36">
        <v>46283.0</v>
      </c>
      <c r="G75" s="36">
        <v>46288.0</v>
      </c>
      <c r="H75" s="37">
        <f t="shared" ref="H75:H79" si="15">IF(OR($F75="",$G75=""),"",$G75-$F75+1)</f>
        <v>6</v>
      </c>
      <c r="I75" s="38">
        <f t="shared" ref="I75:I78" si="16">IFERROR(COUNTIF($J75:$BO75,2)/(COUNTIF($J75:$BO75,1)+COUNTIF($J75:$BO75,2)),0)</f>
        <v>0</v>
      </c>
      <c r="J75" s="39"/>
      <c r="K75" s="39"/>
      <c r="L75" s="39"/>
      <c r="M75" s="39"/>
      <c r="N75" s="39"/>
      <c r="O75" s="40"/>
      <c r="P75" s="40"/>
      <c r="Q75" s="39"/>
      <c r="R75" s="39"/>
      <c r="S75" s="39"/>
      <c r="T75" s="39"/>
      <c r="U75" s="39"/>
      <c r="V75" s="40"/>
      <c r="W75" s="40"/>
      <c r="X75" s="39"/>
      <c r="Y75" s="39"/>
      <c r="Z75" s="39"/>
      <c r="AA75" s="39"/>
      <c r="AB75" s="39"/>
      <c r="AC75" s="40"/>
      <c r="AD75" s="40"/>
      <c r="AE75" s="39"/>
      <c r="AF75" s="39"/>
      <c r="AG75" s="39"/>
      <c r="AH75" s="39"/>
      <c r="AI75" s="39"/>
      <c r="AJ75" s="40"/>
      <c r="AK75" s="40"/>
      <c r="AL75" s="39"/>
      <c r="AM75" s="39"/>
      <c r="AN75" s="39"/>
      <c r="AO75" s="39"/>
      <c r="AP75" s="39"/>
      <c r="AQ75" s="40"/>
      <c r="AR75" s="40"/>
      <c r="AS75" s="39"/>
      <c r="AT75" s="39"/>
      <c r="AU75" s="39"/>
      <c r="AV75" s="39"/>
      <c r="AW75" s="41">
        <v>1.0</v>
      </c>
      <c r="AX75" s="41">
        <v>1.0</v>
      </c>
      <c r="AY75" s="41">
        <v>1.0</v>
      </c>
      <c r="AZ75" s="41">
        <v>1.0</v>
      </c>
      <c r="BA75" s="41">
        <v>1.0</v>
      </c>
      <c r="BB75" s="41">
        <v>1.0</v>
      </c>
      <c r="BC75" s="39"/>
      <c r="BD75" s="39"/>
      <c r="BE75" s="40"/>
      <c r="BF75" s="40"/>
      <c r="BG75" s="39"/>
      <c r="BH75" s="39"/>
      <c r="BI75" s="39"/>
      <c r="BJ75" s="39"/>
      <c r="BK75" s="39"/>
      <c r="BL75" s="40"/>
      <c r="BM75" s="40"/>
      <c r="BN75" s="39"/>
      <c r="BO75" s="39"/>
    </row>
    <row r="76">
      <c r="A76" s="1"/>
      <c r="B76" s="33" t="s">
        <v>232</v>
      </c>
      <c r="C76" s="33" t="s">
        <v>233</v>
      </c>
      <c r="D76" s="34" t="s">
        <v>234</v>
      </c>
      <c r="E76" s="42" t="s">
        <v>43</v>
      </c>
      <c r="F76" s="36">
        <v>46288.0</v>
      </c>
      <c r="G76" s="36">
        <v>46293.0</v>
      </c>
      <c r="H76" s="37">
        <f t="shared" si="15"/>
        <v>6</v>
      </c>
      <c r="I76" s="38">
        <f t="shared" si="16"/>
        <v>0</v>
      </c>
      <c r="J76" s="39"/>
      <c r="K76" s="39"/>
      <c r="L76" s="39"/>
      <c r="M76" s="39"/>
      <c r="N76" s="39"/>
      <c r="O76" s="40"/>
      <c r="P76" s="40"/>
      <c r="Q76" s="39"/>
      <c r="R76" s="39"/>
      <c r="S76" s="39"/>
      <c r="T76" s="39"/>
      <c r="U76" s="39"/>
      <c r="V76" s="40"/>
      <c r="W76" s="40"/>
      <c r="X76" s="39"/>
      <c r="Y76" s="39"/>
      <c r="Z76" s="39"/>
      <c r="AA76" s="39"/>
      <c r="AB76" s="39"/>
      <c r="AC76" s="40"/>
      <c r="AD76" s="40"/>
      <c r="AE76" s="39"/>
      <c r="AF76" s="39"/>
      <c r="AG76" s="39"/>
      <c r="AH76" s="39"/>
      <c r="AI76" s="39"/>
      <c r="AJ76" s="40"/>
      <c r="AK76" s="40"/>
      <c r="AL76" s="39"/>
      <c r="AM76" s="39"/>
      <c r="AN76" s="39"/>
      <c r="AO76" s="39"/>
      <c r="AP76" s="39"/>
      <c r="AQ76" s="40"/>
      <c r="AR76" s="40"/>
      <c r="AS76" s="39"/>
      <c r="AT76" s="39"/>
      <c r="AU76" s="39"/>
      <c r="AV76" s="39"/>
      <c r="AW76" s="39"/>
      <c r="AX76" s="40"/>
      <c r="AY76" s="40"/>
      <c r="AZ76" s="39"/>
      <c r="BA76" s="39"/>
      <c r="BB76" s="41">
        <v>1.0</v>
      </c>
      <c r="BC76" s="41">
        <v>1.0</v>
      </c>
      <c r="BD76" s="41">
        <v>1.0</v>
      </c>
      <c r="BE76" s="41">
        <v>1.0</v>
      </c>
      <c r="BF76" s="41">
        <v>1.0</v>
      </c>
      <c r="BG76" s="41">
        <v>1.0</v>
      </c>
      <c r="BH76" s="39"/>
      <c r="BI76" s="39"/>
      <c r="BJ76" s="39"/>
      <c r="BK76" s="39"/>
      <c r="BL76" s="40"/>
      <c r="BM76" s="40"/>
      <c r="BN76" s="39"/>
      <c r="BO76" s="39"/>
    </row>
    <row r="77">
      <c r="A77" s="1"/>
      <c r="B77" s="33" t="s">
        <v>235</v>
      </c>
      <c r="C77" s="33" t="s">
        <v>236</v>
      </c>
      <c r="D77" s="34" t="s">
        <v>237</v>
      </c>
      <c r="E77" s="42" t="s">
        <v>43</v>
      </c>
      <c r="F77" s="36">
        <v>46286.0</v>
      </c>
      <c r="G77" s="36">
        <v>46290.0</v>
      </c>
      <c r="H77" s="37">
        <f t="shared" si="15"/>
        <v>5</v>
      </c>
      <c r="I77" s="38">
        <f t="shared" si="16"/>
        <v>0</v>
      </c>
      <c r="J77" s="39"/>
      <c r="K77" s="39"/>
      <c r="L77" s="39"/>
      <c r="M77" s="39"/>
      <c r="N77" s="39"/>
      <c r="O77" s="40"/>
      <c r="P77" s="40"/>
      <c r="Q77" s="39"/>
      <c r="R77" s="39"/>
      <c r="S77" s="39"/>
      <c r="T77" s="39"/>
      <c r="U77" s="39"/>
      <c r="V77" s="40"/>
      <c r="W77" s="40"/>
      <c r="X77" s="39"/>
      <c r="Y77" s="39"/>
      <c r="Z77" s="39"/>
      <c r="AA77" s="39"/>
      <c r="AB77" s="39"/>
      <c r="AC77" s="40"/>
      <c r="AD77" s="40"/>
      <c r="AE77" s="39"/>
      <c r="AF77" s="39"/>
      <c r="AG77" s="39"/>
      <c r="AH77" s="39"/>
      <c r="AI77" s="39"/>
      <c r="AJ77" s="40"/>
      <c r="AK77" s="40"/>
      <c r="AL77" s="39"/>
      <c r="AM77" s="39"/>
      <c r="AN77" s="39"/>
      <c r="AO77" s="39"/>
      <c r="AP77" s="39"/>
      <c r="AQ77" s="40"/>
      <c r="AR77" s="40"/>
      <c r="AS77" s="39"/>
      <c r="AT77" s="39"/>
      <c r="AU77" s="39"/>
      <c r="AV77" s="39"/>
      <c r="AW77" s="39"/>
      <c r="AX77" s="40"/>
      <c r="AY77" s="40"/>
      <c r="AZ77" s="41">
        <v>1.0</v>
      </c>
      <c r="BA77" s="41">
        <v>1.0</v>
      </c>
      <c r="BB77" s="41">
        <v>1.0</v>
      </c>
      <c r="BC77" s="41">
        <v>1.0</v>
      </c>
      <c r="BD77" s="41">
        <v>1.0</v>
      </c>
      <c r="BE77" s="40"/>
      <c r="BF77" s="40"/>
      <c r="BG77" s="39"/>
      <c r="BH77" s="39"/>
      <c r="BI77" s="39"/>
      <c r="BJ77" s="39"/>
      <c r="BK77" s="39"/>
      <c r="BL77" s="40"/>
      <c r="BM77" s="40"/>
      <c r="BN77" s="39"/>
      <c r="BO77" s="39"/>
    </row>
    <row r="78">
      <c r="A78" s="1"/>
      <c r="B78" s="33" t="s">
        <v>238</v>
      </c>
      <c r="C78" s="33" t="s">
        <v>239</v>
      </c>
      <c r="D78" s="34" t="s">
        <v>240</v>
      </c>
      <c r="E78" s="42" t="s">
        <v>43</v>
      </c>
      <c r="F78" s="36">
        <v>46289.0</v>
      </c>
      <c r="G78" s="36">
        <v>46293.0</v>
      </c>
      <c r="H78" s="37">
        <f t="shared" si="15"/>
        <v>5</v>
      </c>
      <c r="I78" s="38">
        <f t="shared" si="16"/>
        <v>0</v>
      </c>
      <c r="J78" s="39"/>
      <c r="K78" s="39"/>
      <c r="L78" s="39"/>
      <c r="M78" s="39"/>
      <c r="N78" s="39"/>
      <c r="O78" s="40"/>
      <c r="P78" s="40"/>
      <c r="Q78" s="39"/>
      <c r="R78" s="39"/>
      <c r="S78" s="39"/>
      <c r="T78" s="39"/>
      <c r="U78" s="39"/>
      <c r="V78" s="40"/>
      <c r="W78" s="40"/>
      <c r="X78" s="39"/>
      <c r="Y78" s="39"/>
      <c r="Z78" s="39"/>
      <c r="AA78" s="39"/>
      <c r="AB78" s="39"/>
      <c r="AC78" s="40"/>
      <c r="AD78" s="40"/>
      <c r="AE78" s="39"/>
      <c r="AF78" s="39"/>
      <c r="AG78" s="39"/>
      <c r="AH78" s="39"/>
      <c r="AI78" s="39"/>
      <c r="AJ78" s="40"/>
      <c r="AK78" s="40"/>
      <c r="AL78" s="39"/>
      <c r="AM78" s="39"/>
      <c r="AN78" s="39"/>
      <c r="AO78" s="39"/>
      <c r="AP78" s="39"/>
      <c r="AQ78" s="40"/>
      <c r="AR78" s="40"/>
      <c r="AS78" s="39"/>
      <c r="AT78" s="39"/>
      <c r="AU78" s="39"/>
      <c r="AV78" s="39"/>
      <c r="AW78" s="39"/>
      <c r="AX78" s="40"/>
      <c r="AY78" s="40"/>
      <c r="AZ78" s="39"/>
      <c r="BA78" s="39"/>
      <c r="BB78" s="39"/>
      <c r="BC78" s="41">
        <v>1.0</v>
      </c>
      <c r="BD78" s="41">
        <v>1.0</v>
      </c>
      <c r="BE78" s="41">
        <v>1.0</v>
      </c>
      <c r="BF78" s="41">
        <v>1.0</v>
      </c>
      <c r="BG78" s="41">
        <v>1.0</v>
      </c>
      <c r="BH78" s="39"/>
      <c r="BI78" s="39"/>
      <c r="BJ78" s="39"/>
      <c r="BK78" s="39"/>
      <c r="BL78" s="40"/>
      <c r="BM78" s="40"/>
      <c r="BN78" s="39"/>
      <c r="BO78" s="39"/>
    </row>
    <row r="79">
      <c r="A79" s="1"/>
      <c r="B79" s="33" t="s">
        <v>241</v>
      </c>
      <c r="C79" s="33" t="s">
        <v>242</v>
      </c>
      <c r="D79" s="34" t="s">
        <v>243</v>
      </c>
      <c r="E79" s="42" t="s">
        <v>43</v>
      </c>
      <c r="F79" s="36">
        <v>46293.0</v>
      </c>
      <c r="G79" s="36">
        <v>46297.0</v>
      </c>
      <c r="H79" s="37">
        <f t="shared" si="15"/>
        <v>5</v>
      </c>
      <c r="I79" s="1"/>
      <c r="J79" s="39"/>
      <c r="K79" s="39"/>
      <c r="L79" s="39"/>
      <c r="M79" s="39"/>
      <c r="N79" s="39"/>
      <c r="O79" s="40"/>
      <c r="P79" s="40"/>
      <c r="Q79" s="39"/>
      <c r="R79" s="39"/>
      <c r="S79" s="39"/>
      <c r="T79" s="39"/>
      <c r="U79" s="39"/>
      <c r="V79" s="40"/>
      <c r="W79" s="40"/>
      <c r="X79" s="39"/>
      <c r="Y79" s="39"/>
      <c r="Z79" s="39"/>
      <c r="AA79" s="39"/>
      <c r="AB79" s="39"/>
      <c r="AC79" s="40"/>
      <c r="AD79" s="40"/>
      <c r="AE79" s="39"/>
      <c r="AF79" s="39"/>
      <c r="AG79" s="39"/>
      <c r="AH79" s="39"/>
      <c r="AI79" s="39"/>
      <c r="AJ79" s="40"/>
      <c r="AK79" s="40"/>
      <c r="AL79" s="39"/>
      <c r="AM79" s="39"/>
      <c r="AN79" s="39"/>
      <c r="AO79" s="39"/>
      <c r="AP79" s="39"/>
      <c r="AQ79" s="40"/>
      <c r="AR79" s="40"/>
      <c r="AS79" s="39"/>
      <c r="AT79" s="39"/>
      <c r="AU79" s="39"/>
      <c r="AV79" s="39"/>
      <c r="AW79" s="39"/>
      <c r="AX79" s="40"/>
      <c r="AY79" s="40"/>
      <c r="AZ79" s="39"/>
      <c r="BA79" s="39"/>
      <c r="BB79" s="39"/>
      <c r="BC79" s="39"/>
      <c r="BD79" s="39"/>
      <c r="BE79" s="40"/>
      <c r="BF79" s="40"/>
      <c r="BG79" s="41">
        <v>1.0</v>
      </c>
      <c r="BH79" s="41">
        <v>1.0</v>
      </c>
      <c r="BI79" s="41">
        <v>1.0</v>
      </c>
      <c r="BJ79" s="41">
        <v>1.0</v>
      </c>
      <c r="BK79" s="41">
        <v>1.0</v>
      </c>
      <c r="BL79" s="40"/>
      <c r="BM79" s="40"/>
      <c r="BN79" s="39"/>
      <c r="BO79" s="39"/>
    </row>
    <row r="80">
      <c r="A80" s="1"/>
      <c r="B80" s="28" t="s">
        <v>244</v>
      </c>
      <c r="C80" s="28" t="s">
        <v>245</v>
      </c>
      <c r="D80" s="29"/>
      <c r="E80" s="29"/>
      <c r="F80" s="30">
        <f>MIN(F81:F86)</f>
        <v>46251</v>
      </c>
      <c r="G80" s="30">
        <f>MAX(G81:G86)</f>
        <v>46301</v>
      </c>
      <c r="H80" s="31">
        <f>G80-F80+1</f>
        <v>51</v>
      </c>
      <c r="I80" s="32">
        <f>IFERROR(COUNTIF($J$81:$BO$86,2)/(COUNTIF($J$81:$BO$86,1)+COUNTIF($J$81:$BO$86,2)),0)</f>
        <v>0.3902439024</v>
      </c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</row>
    <row r="81">
      <c r="A81" s="1"/>
      <c r="B81" s="33" t="s">
        <v>246</v>
      </c>
      <c r="C81" s="33" t="s">
        <v>247</v>
      </c>
      <c r="D81" s="34" t="s">
        <v>248</v>
      </c>
      <c r="E81" s="35" t="s">
        <v>43</v>
      </c>
      <c r="F81" s="47">
        <v>46258.0</v>
      </c>
      <c r="G81" s="36">
        <v>46269.0</v>
      </c>
      <c r="H81" s="37">
        <f t="shared" ref="H81:H86" si="17">IF(OR($F81="",$G81=""),"",$G81-$F81+1)</f>
        <v>12</v>
      </c>
      <c r="I81" s="38">
        <f t="shared" ref="I81:I86" si="18">IFERROR(COUNTIF($J81:$BO81,2)/(COUNTIF($J81:$BO81,1)+COUNTIF($J81:$BO81,2)),0)</f>
        <v>1</v>
      </c>
      <c r="J81" s="39"/>
      <c r="K81" s="39"/>
      <c r="L81" s="39"/>
      <c r="M81" s="39"/>
      <c r="N81" s="39"/>
      <c r="O81" s="40"/>
      <c r="P81" s="40"/>
      <c r="Q81" s="39"/>
      <c r="R81" s="39"/>
      <c r="S81" s="39"/>
      <c r="T81" s="39"/>
      <c r="U81" s="39"/>
      <c r="V81" s="40"/>
      <c r="W81" s="40"/>
      <c r="X81" s="41">
        <v>2.0</v>
      </c>
      <c r="Y81" s="41">
        <v>2.0</v>
      </c>
      <c r="Z81" s="41">
        <v>2.0</v>
      </c>
      <c r="AA81" s="41">
        <v>2.0</v>
      </c>
      <c r="AB81" s="41">
        <v>2.0</v>
      </c>
      <c r="AC81" s="41">
        <v>2.0</v>
      </c>
      <c r="AD81" s="41">
        <v>2.0</v>
      </c>
      <c r="AE81" s="41">
        <v>2.0</v>
      </c>
      <c r="AF81" s="41">
        <v>2.0</v>
      </c>
      <c r="AG81" s="41">
        <v>2.0</v>
      </c>
      <c r="AH81" s="41">
        <v>2.0</v>
      </c>
      <c r="AI81" s="41">
        <v>2.0</v>
      </c>
      <c r="AJ81" s="40"/>
      <c r="AK81" s="40"/>
      <c r="AL81" s="39"/>
      <c r="AM81" s="39"/>
      <c r="AN81" s="39"/>
      <c r="AO81" s="39"/>
      <c r="AP81" s="39"/>
      <c r="AQ81" s="40"/>
      <c r="AR81" s="40"/>
      <c r="AS81" s="39"/>
      <c r="AT81" s="39"/>
      <c r="AU81" s="39"/>
      <c r="AV81" s="39"/>
      <c r="AW81" s="39"/>
      <c r="AX81" s="40"/>
      <c r="AY81" s="40"/>
      <c r="AZ81" s="39"/>
      <c r="BA81" s="39"/>
      <c r="BB81" s="39"/>
      <c r="BC81" s="39"/>
      <c r="BD81" s="39"/>
      <c r="BE81" s="40"/>
      <c r="BF81" s="40"/>
      <c r="BG81" s="39"/>
      <c r="BH81" s="39"/>
      <c r="BI81" s="39"/>
      <c r="BJ81" s="39"/>
      <c r="BK81" s="39"/>
      <c r="BL81" s="40"/>
      <c r="BM81" s="40"/>
      <c r="BN81" s="39"/>
      <c r="BO81" s="39"/>
    </row>
    <row r="82">
      <c r="A82" s="1"/>
      <c r="B82" s="33" t="s">
        <v>249</v>
      </c>
      <c r="C82" s="33" t="s">
        <v>250</v>
      </c>
      <c r="D82" s="34" t="s">
        <v>251</v>
      </c>
      <c r="E82" s="42" t="s">
        <v>43</v>
      </c>
      <c r="F82" s="36">
        <v>46251.0</v>
      </c>
      <c r="G82" s="36">
        <v>46300.0</v>
      </c>
      <c r="H82" s="37">
        <f t="shared" si="17"/>
        <v>50</v>
      </c>
      <c r="I82" s="38">
        <f t="shared" si="18"/>
        <v>0.375</v>
      </c>
      <c r="J82" s="39"/>
      <c r="K82" s="39"/>
      <c r="L82" s="39"/>
      <c r="M82" s="39"/>
      <c r="N82" s="39"/>
      <c r="O82" s="40"/>
      <c r="P82" s="40"/>
      <c r="Q82" s="39">
        <v>2.0</v>
      </c>
      <c r="R82" s="41"/>
      <c r="S82" s="39"/>
      <c r="T82" s="39"/>
      <c r="U82" s="39"/>
      <c r="V82" s="40"/>
      <c r="W82" s="40"/>
      <c r="X82" s="41">
        <v>2.0</v>
      </c>
      <c r="Y82" s="39"/>
      <c r="Z82" s="39"/>
      <c r="AA82" s="39"/>
      <c r="AB82" s="39"/>
      <c r="AC82" s="40"/>
      <c r="AD82" s="40"/>
      <c r="AE82" s="41">
        <v>2.0</v>
      </c>
      <c r="AF82" s="39"/>
      <c r="AG82" s="39"/>
      <c r="AH82" s="39"/>
      <c r="AI82" s="39"/>
      <c r="AJ82" s="40"/>
      <c r="AK82" s="40"/>
      <c r="AL82" s="41">
        <v>1.0</v>
      </c>
      <c r="AM82" s="39"/>
      <c r="AN82" s="39"/>
      <c r="AO82" s="39"/>
      <c r="AP82" s="39"/>
      <c r="AQ82" s="40"/>
      <c r="AR82" s="40"/>
      <c r="AS82" s="41">
        <v>1.0</v>
      </c>
      <c r="AT82" s="39"/>
      <c r="AU82" s="39"/>
      <c r="AV82" s="39"/>
      <c r="AW82" s="39"/>
      <c r="AX82" s="40"/>
      <c r="AY82" s="40"/>
      <c r="AZ82" s="41">
        <v>1.0</v>
      </c>
      <c r="BA82" s="39"/>
      <c r="BB82" s="39"/>
      <c r="BC82" s="39"/>
      <c r="BD82" s="39"/>
      <c r="BE82" s="40"/>
      <c r="BF82" s="40"/>
      <c r="BG82" s="41">
        <v>1.0</v>
      </c>
      <c r="BH82" s="39"/>
      <c r="BI82" s="39"/>
      <c r="BJ82" s="39"/>
      <c r="BK82" s="39"/>
      <c r="BL82" s="40"/>
      <c r="BM82" s="40"/>
      <c r="BN82" s="41">
        <v>1.0</v>
      </c>
      <c r="BO82" s="39"/>
    </row>
    <row r="83">
      <c r="A83" s="1"/>
      <c r="B83" s="33" t="s">
        <v>252</v>
      </c>
      <c r="C83" s="33" t="s">
        <v>253</v>
      </c>
      <c r="D83" s="43" t="s">
        <v>254</v>
      </c>
      <c r="E83" s="35" t="s">
        <v>43</v>
      </c>
      <c r="F83" s="36">
        <v>46251.0</v>
      </c>
      <c r="G83" s="36">
        <v>46300.0</v>
      </c>
      <c r="H83" s="37">
        <f t="shared" si="17"/>
        <v>50</v>
      </c>
      <c r="I83" s="38">
        <f t="shared" si="18"/>
        <v>0.34</v>
      </c>
      <c r="J83" s="39"/>
      <c r="K83" s="39"/>
      <c r="L83" s="39"/>
      <c r="M83" s="39"/>
      <c r="N83" s="39"/>
      <c r="O83" s="40"/>
      <c r="P83" s="40"/>
      <c r="Q83" s="41">
        <v>2.0</v>
      </c>
      <c r="R83" s="41">
        <v>2.0</v>
      </c>
      <c r="S83" s="41">
        <v>2.0</v>
      </c>
      <c r="T83" s="41">
        <v>2.0</v>
      </c>
      <c r="U83" s="41">
        <v>2.0</v>
      </c>
      <c r="V83" s="41">
        <v>2.0</v>
      </c>
      <c r="W83" s="41">
        <v>2.0</v>
      </c>
      <c r="X83" s="41">
        <v>2.0</v>
      </c>
      <c r="Y83" s="41">
        <v>2.0</v>
      </c>
      <c r="Z83" s="41">
        <v>2.0</v>
      </c>
      <c r="AA83" s="41">
        <v>2.0</v>
      </c>
      <c r="AB83" s="41">
        <v>2.0</v>
      </c>
      <c r="AC83" s="41">
        <v>2.0</v>
      </c>
      <c r="AD83" s="41">
        <v>2.0</v>
      </c>
      <c r="AE83" s="41">
        <v>2.0</v>
      </c>
      <c r="AF83" s="41">
        <v>2.0</v>
      </c>
      <c r="AG83" s="41">
        <v>2.0</v>
      </c>
      <c r="AH83" s="41">
        <v>1.0</v>
      </c>
      <c r="AI83" s="41">
        <v>1.0</v>
      </c>
      <c r="AJ83" s="41">
        <v>1.0</v>
      </c>
      <c r="AK83" s="41">
        <v>1.0</v>
      </c>
      <c r="AL83" s="41">
        <v>1.0</v>
      </c>
      <c r="AM83" s="41">
        <v>1.0</v>
      </c>
      <c r="AN83" s="41">
        <v>1.0</v>
      </c>
      <c r="AO83" s="41">
        <v>1.0</v>
      </c>
      <c r="AP83" s="41">
        <v>1.0</v>
      </c>
      <c r="AQ83" s="41">
        <v>1.0</v>
      </c>
      <c r="AR83" s="41">
        <v>1.0</v>
      </c>
      <c r="AS83" s="41">
        <v>1.0</v>
      </c>
      <c r="AT83" s="41">
        <v>1.0</v>
      </c>
      <c r="AU83" s="41">
        <v>1.0</v>
      </c>
      <c r="AV83" s="41">
        <v>1.0</v>
      </c>
      <c r="AW83" s="41">
        <v>1.0</v>
      </c>
      <c r="AX83" s="41">
        <v>1.0</v>
      </c>
      <c r="AY83" s="41">
        <v>1.0</v>
      </c>
      <c r="AZ83" s="41">
        <v>1.0</v>
      </c>
      <c r="BA83" s="41">
        <v>1.0</v>
      </c>
      <c r="BB83" s="41">
        <v>1.0</v>
      </c>
      <c r="BC83" s="41">
        <v>1.0</v>
      </c>
      <c r="BD83" s="41">
        <v>1.0</v>
      </c>
      <c r="BE83" s="41">
        <v>1.0</v>
      </c>
      <c r="BF83" s="41">
        <v>1.0</v>
      </c>
      <c r="BG83" s="41">
        <v>1.0</v>
      </c>
      <c r="BH83" s="41">
        <v>1.0</v>
      </c>
      <c r="BI83" s="41">
        <v>1.0</v>
      </c>
      <c r="BJ83" s="41">
        <v>1.0</v>
      </c>
      <c r="BK83" s="41">
        <v>1.0</v>
      </c>
      <c r="BL83" s="41">
        <v>1.0</v>
      </c>
      <c r="BM83" s="41">
        <v>1.0</v>
      </c>
      <c r="BN83" s="41">
        <v>1.0</v>
      </c>
      <c r="BO83" s="39"/>
    </row>
    <row r="84">
      <c r="A84" s="1"/>
      <c r="B84" s="33" t="s">
        <v>255</v>
      </c>
      <c r="C84" s="33" t="s">
        <v>256</v>
      </c>
      <c r="D84" s="34" t="s">
        <v>257</v>
      </c>
      <c r="E84" s="35" t="s">
        <v>43</v>
      </c>
      <c r="F84" s="36">
        <v>46293.0</v>
      </c>
      <c r="G84" s="36">
        <v>46297.0</v>
      </c>
      <c r="H84" s="37">
        <f t="shared" si="17"/>
        <v>5</v>
      </c>
      <c r="I84" s="38">
        <f t="shared" si="18"/>
        <v>0</v>
      </c>
      <c r="J84" s="39"/>
      <c r="K84" s="39"/>
      <c r="L84" s="39"/>
      <c r="M84" s="39"/>
      <c r="N84" s="39"/>
      <c r="O84" s="40"/>
      <c r="P84" s="40"/>
      <c r="Q84" s="39"/>
      <c r="R84" s="39"/>
      <c r="S84" s="39"/>
      <c r="T84" s="39"/>
      <c r="U84" s="39"/>
      <c r="V84" s="40"/>
      <c r="W84" s="40"/>
      <c r="X84" s="39"/>
      <c r="Y84" s="39"/>
      <c r="Z84" s="39"/>
      <c r="AA84" s="39"/>
      <c r="AB84" s="39"/>
      <c r="AC84" s="40"/>
      <c r="AD84" s="40"/>
      <c r="AE84" s="39"/>
      <c r="AF84" s="39"/>
      <c r="AG84" s="39"/>
      <c r="AH84" s="39"/>
      <c r="AI84" s="39"/>
      <c r="AJ84" s="40"/>
      <c r="AK84" s="40"/>
      <c r="AL84" s="39"/>
      <c r="AM84" s="39"/>
      <c r="AN84" s="39"/>
      <c r="AO84" s="39"/>
      <c r="AP84" s="39"/>
      <c r="AQ84" s="40"/>
      <c r="AR84" s="40"/>
      <c r="AS84" s="39"/>
      <c r="AT84" s="39"/>
      <c r="AU84" s="39"/>
      <c r="AV84" s="39"/>
      <c r="AW84" s="39"/>
      <c r="AX84" s="40"/>
      <c r="AY84" s="40"/>
      <c r="AZ84" s="39"/>
      <c r="BA84" s="39"/>
      <c r="BB84" s="39"/>
      <c r="BC84" s="39"/>
      <c r="BD84" s="39"/>
      <c r="BE84" s="40"/>
      <c r="BF84" s="40"/>
      <c r="BG84" s="41">
        <v>1.0</v>
      </c>
      <c r="BH84" s="41">
        <v>1.0</v>
      </c>
      <c r="BI84" s="41">
        <v>1.0</v>
      </c>
      <c r="BJ84" s="41">
        <v>1.0</v>
      </c>
      <c r="BK84" s="41">
        <v>1.0</v>
      </c>
      <c r="BL84" s="40"/>
      <c r="BM84" s="40"/>
      <c r="BN84" s="39"/>
      <c r="BO84" s="39"/>
    </row>
    <row r="85">
      <c r="A85" s="1"/>
      <c r="B85" s="33" t="s">
        <v>258</v>
      </c>
      <c r="C85" s="33" t="s">
        <v>259</v>
      </c>
      <c r="D85" s="34" t="s">
        <v>260</v>
      </c>
      <c r="E85" s="42" t="s">
        <v>43</v>
      </c>
      <c r="F85" s="36">
        <v>46293.0</v>
      </c>
      <c r="G85" s="36">
        <v>46297.0</v>
      </c>
      <c r="H85" s="37">
        <f t="shared" si="17"/>
        <v>5</v>
      </c>
      <c r="I85" s="38">
        <f t="shared" si="18"/>
        <v>0</v>
      </c>
      <c r="J85" s="39"/>
      <c r="K85" s="39"/>
      <c r="L85" s="39"/>
      <c r="M85" s="39"/>
      <c r="N85" s="39"/>
      <c r="O85" s="40"/>
      <c r="P85" s="40"/>
      <c r="Q85" s="39"/>
      <c r="R85" s="39"/>
      <c r="S85" s="39"/>
      <c r="T85" s="39"/>
      <c r="U85" s="39"/>
      <c r="V85" s="40"/>
      <c r="W85" s="40"/>
      <c r="X85" s="39"/>
      <c r="Y85" s="39"/>
      <c r="Z85" s="39"/>
      <c r="AA85" s="39"/>
      <c r="AB85" s="39"/>
      <c r="AC85" s="40"/>
      <c r="AD85" s="40"/>
      <c r="AE85" s="39"/>
      <c r="AF85" s="39"/>
      <c r="AG85" s="39"/>
      <c r="AH85" s="39"/>
      <c r="AI85" s="39"/>
      <c r="AJ85" s="40"/>
      <c r="AK85" s="40"/>
      <c r="AL85" s="39"/>
      <c r="AM85" s="39"/>
      <c r="AN85" s="39"/>
      <c r="AO85" s="39"/>
      <c r="AP85" s="39"/>
      <c r="AQ85" s="40"/>
      <c r="AR85" s="40"/>
      <c r="AS85" s="39"/>
      <c r="AT85" s="39"/>
      <c r="AU85" s="39"/>
      <c r="AV85" s="39"/>
      <c r="AW85" s="39"/>
      <c r="AX85" s="40"/>
      <c r="AY85" s="40"/>
      <c r="AZ85" s="39"/>
      <c r="BA85" s="39"/>
      <c r="BB85" s="39"/>
      <c r="BC85" s="39"/>
      <c r="BD85" s="39"/>
      <c r="BE85" s="40"/>
      <c r="BF85" s="40"/>
      <c r="BG85" s="41">
        <v>1.0</v>
      </c>
      <c r="BH85" s="41">
        <v>1.0</v>
      </c>
      <c r="BI85" s="41">
        <v>1.0</v>
      </c>
      <c r="BJ85" s="41">
        <v>1.0</v>
      </c>
      <c r="BK85" s="41">
        <v>1.0</v>
      </c>
      <c r="BL85" s="40"/>
      <c r="BM85" s="40"/>
      <c r="BN85" s="39"/>
      <c r="BO85" s="39"/>
    </row>
    <row r="86">
      <c r="A86" s="1"/>
      <c r="B86" s="33" t="s">
        <v>261</v>
      </c>
      <c r="C86" s="33" t="s">
        <v>262</v>
      </c>
      <c r="D86" s="34" t="s">
        <v>263</v>
      </c>
      <c r="E86" s="35" t="s">
        <v>43</v>
      </c>
      <c r="F86" s="36">
        <v>46300.0</v>
      </c>
      <c r="G86" s="36">
        <v>46301.0</v>
      </c>
      <c r="H86" s="37">
        <f t="shared" si="17"/>
        <v>2</v>
      </c>
      <c r="I86" s="38">
        <f t="shared" si="18"/>
        <v>0</v>
      </c>
      <c r="J86" s="39"/>
      <c r="K86" s="39"/>
      <c r="L86" s="39"/>
      <c r="M86" s="39"/>
      <c r="N86" s="39"/>
      <c r="O86" s="40"/>
      <c r="P86" s="40"/>
      <c r="Q86" s="39"/>
      <c r="R86" s="39"/>
      <c r="S86" s="39"/>
      <c r="T86" s="39"/>
      <c r="U86" s="39"/>
      <c r="V86" s="40"/>
      <c r="W86" s="40"/>
      <c r="X86" s="39"/>
      <c r="Y86" s="39"/>
      <c r="Z86" s="39"/>
      <c r="AA86" s="39"/>
      <c r="AB86" s="39"/>
      <c r="AC86" s="40"/>
      <c r="AD86" s="40"/>
      <c r="AE86" s="39"/>
      <c r="AF86" s="39"/>
      <c r="AG86" s="39"/>
      <c r="AH86" s="39"/>
      <c r="AI86" s="39"/>
      <c r="AJ86" s="40"/>
      <c r="AK86" s="40"/>
      <c r="AL86" s="39"/>
      <c r="AM86" s="39"/>
      <c r="AN86" s="39"/>
      <c r="AO86" s="39"/>
      <c r="AP86" s="39"/>
      <c r="AQ86" s="40"/>
      <c r="AR86" s="40"/>
      <c r="AS86" s="39"/>
      <c r="AT86" s="39"/>
      <c r="AU86" s="39"/>
      <c r="AV86" s="39"/>
      <c r="AW86" s="39"/>
      <c r="AX86" s="40"/>
      <c r="AY86" s="40"/>
      <c r="AZ86" s="39"/>
      <c r="BA86" s="39"/>
      <c r="BB86" s="39"/>
      <c r="BC86" s="39"/>
      <c r="BD86" s="39"/>
      <c r="BE86" s="40"/>
      <c r="BF86" s="40"/>
      <c r="BG86" s="39"/>
      <c r="BH86" s="39"/>
      <c r="BI86" s="39"/>
      <c r="BJ86" s="39"/>
      <c r="BK86" s="39"/>
      <c r="BL86" s="40"/>
      <c r="BM86" s="40"/>
      <c r="BN86" s="41">
        <v>1.0</v>
      </c>
      <c r="BO86" s="41">
        <v>1.0</v>
      </c>
    </row>
    <row r="87" ht="15.75" customHeight="1">
      <c r="A87" s="1"/>
      <c r="B87" s="1"/>
      <c r="C87" s="1"/>
      <c r="D87" s="1"/>
      <c r="E87" s="1"/>
      <c r="F87" s="1"/>
      <c r="G87" s="1"/>
      <c r="H87" s="1"/>
      <c r="I87" s="5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ht="21.75" customHeight="1">
      <c r="A88" s="1"/>
      <c r="B88" s="1"/>
      <c r="C88" s="53" t="s">
        <v>264</v>
      </c>
      <c r="D88" s="1"/>
      <c r="E88" s="1"/>
      <c r="F88" s="1"/>
      <c r="G88" s="1"/>
      <c r="H88" s="54" t="s">
        <v>265</v>
      </c>
      <c r="I88" s="55">
        <f>IFERROR(COUNTIF($J$11:$BO$86,2)/(COUNTIF($J$11:$BO$86,1)+COUNTIF($J$11:$BO$86,2)),0)</f>
        <v>0.5449330784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ht="15.75" customHeight="1">
      <c r="A90" s="1"/>
      <c r="B90" s="1"/>
      <c r="C90" s="56" t="s">
        <v>266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ht="15.75" customHeight="1">
      <c r="A91" s="1"/>
      <c r="B91" s="1"/>
      <c r="C91" s="57" t="s">
        <v>7</v>
      </c>
      <c r="D91" s="58" t="s">
        <v>267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ht="15.75" customHeight="1">
      <c r="A92" s="1"/>
      <c r="B92" s="1"/>
      <c r="C92" s="59" t="s">
        <v>268</v>
      </c>
      <c r="D92" s="60" t="s">
        <v>269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ht="15.75" customHeight="1">
      <c r="A93" s="1"/>
      <c r="B93" s="1"/>
      <c r="C93" s="59" t="s">
        <v>270</v>
      </c>
      <c r="D93" s="60" t="s">
        <v>271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ht="15.75" customHeight="1">
      <c r="A94" s="1"/>
      <c r="B94" s="1"/>
      <c r="C94" s="57" t="s">
        <v>272</v>
      </c>
      <c r="D94" s="60" t="s">
        <v>273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ht="15.75" customHeight="1">
      <c r="A95" s="1"/>
      <c r="B95" s="1"/>
      <c r="C95" s="57" t="s">
        <v>274</v>
      </c>
      <c r="D95" s="58" t="s">
        <v>275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</row>
  </sheetData>
  <mergeCells count="27">
    <mergeCell ref="B2:G2"/>
    <mergeCell ref="I2:BO2"/>
    <mergeCell ref="D4:G4"/>
    <mergeCell ref="N4:AN4"/>
    <mergeCell ref="D5:G5"/>
    <mergeCell ref="N5:AN5"/>
    <mergeCell ref="N6:AN6"/>
    <mergeCell ref="J7:BO7"/>
    <mergeCell ref="D6:G6"/>
    <mergeCell ref="E7:F7"/>
    <mergeCell ref="B8:B10"/>
    <mergeCell ref="C8:C10"/>
    <mergeCell ref="D8:D10"/>
    <mergeCell ref="E8:E10"/>
    <mergeCell ref="F8:F10"/>
    <mergeCell ref="AL8:AR8"/>
    <mergeCell ref="AS8:AY8"/>
    <mergeCell ref="AZ8:BF8"/>
    <mergeCell ref="BG8:BM8"/>
    <mergeCell ref="BN8:BO8"/>
    <mergeCell ref="G8:G10"/>
    <mergeCell ref="H8:H10"/>
    <mergeCell ref="I8:I10"/>
    <mergeCell ref="J8:P8"/>
    <mergeCell ref="Q8:W8"/>
    <mergeCell ref="X8:AD8"/>
    <mergeCell ref="AE8:AK8"/>
  </mergeCells>
  <conditionalFormatting sqref="J11:BO86">
    <cfRule type="cellIs" dxfId="0" priority="1" operator="equal">
      <formula>1</formula>
    </cfRule>
  </conditionalFormatting>
  <conditionalFormatting sqref="J11:BO86">
    <cfRule type="cellIs" dxfId="1" priority="2" operator="equal">
      <formula>2</formula>
    </cfRule>
  </conditionalFormatting>
  <conditionalFormatting sqref="I11:I78 I80:I86">
    <cfRule type="colorScale" priority="3">
      <colorScale>
        <cfvo type="formula" val="0"/>
        <cfvo type="formula" val="1"/>
        <color rgb="FFFFFFFF"/>
        <color rgb="FF57BB8A"/>
      </colorScale>
    </cfRule>
  </conditionalFormatting>
  <dataValidations>
    <dataValidation type="list" allowBlank="1" sqref="J11:BO86">
      <formula1>"1,2"</formula1>
    </dataValidation>
  </dataValidations>
  <printOptions/>
  <pageMargins bottom="0.75" footer="0.0" header="0.0" left="0.7" right="0.7" top="0.75"/>
  <pageSetup fitToWidth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2026-08-19T02:06:29.000</dcterms:created>
  <dc:creator>openpyxl</dc:creator>
</cp:coreProperties>
</file>